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4.xml.rels" ContentType="application/vnd.openxmlformats-package.relationships+xml"/>
  <Override PartName="/xl/worksheets/_rels/sheet8.xml.rels" ContentType="application/vnd.openxmlformats-package.relationships+xml"/>
  <Override PartName="/xl/worksheets/_rels/sheet13.xml.rels" ContentType="application/vnd.openxmlformats-package.relationships+xml"/>
  <Override PartName="/xl/worksheets/_rels/sheet7.xml.rels" ContentType="application/vnd.openxmlformats-package.relationships+xml"/>
  <Override PartName="/xl/worksheets/_rels/sheet12.xml.rels" ContentType="application/vnd.openxmlformats-package.relationships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15.xml.rels" ContentType="application/vnd.openxmlformats-package.relationships+xml"/>
  <Override PartName="/xl/worksheets/_rels/sheet18.xml.rels" ContentType="application/vnd.openxmlformats-package.relationships+xml"/>
  <Override PartName="/xl/worksheets/_rels/sheet17.xml.rels" ContentType="application/vnd.openxmlformats-package.relationships+xml"/>
  <Override PartName="/xl/worksheets/_rels/sheet16.xml.rels" ContentType="application/vnd.openxmlformats-package.relationships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9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drawing16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drawing17.xml" ContentType="application/vnd.openxmlformats-officedocument.drawing+xml"/>
  <Override PartName="/xl/drawings/drawing8.xml" ContentType="application/vnd.openxmlformats-officedocument.drawing+xml"/>
  <Override PartName="/xl/drawings/drawing1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EME" sheetId="1" state="visible" r:id="rId3"/>
    <sheet name="Stack" sheetId="2" state="visible" r:id="rId4"/>
    <sheet name="Decisiones" sheetId="3" state="visible" r:id="rId5"/>
    <sheet name="Necesito de ti" sheetId="4" state="visible" r:id="rId6"/>
    <sheet name="Carpetas" sheetId="5" state="visible" r:id="rId7"/>
    <sheet name="Tablas BD" sheetId="6" state="visible" r:id="rId8"/>
    <sheet name="Estados" sheetId="7" state="visible" r:id="rId9"/>
    <sheet name="Roles y permisos" sheetId="8" state="visible" r:id="rId10"/>
    <sheet name="Reglas e invariantes" sheetId="9" state="visible" r:id="rId11"/>
    <sheet name="Pantallas" sheetId="10" state="visible" r:id="rId12"/>
    <sheet name="API" sheetId="11" state="visible" r:id="rId13"/>
    <sheet name="Mensajes WhatsApp" sheetId="12" state="visible" r:id="rId14"/>
    <sheet name="Parametros" sheetId="13" state="visible" r:id="rId15"/>
    <sheet name="Plan" sheetId="14" state="visible" r:id="rId16"/>
    <sheet name="Guion demo" sheetId="15" state="visible" r:id="rId17"/>
    <sheet name="Aceptación" sheetId="16" state="visible" r:id="rId18"/>
    <sheet name="Riesgos" sheetId="17" state="visible" r:id="rId19"/>
    <sheet name="Bitácora" sheetId="18" state="visible" r:id="rId20"/>
  </sheets>
  <definedNames>
    <definedName function="false" hidden="true" localSheetId="15" name="_xlnm._FilterDatabase" vbProcedure="false">Aceptación!$A$2:$E$24</definedName>
    <definedName function="false" hidden="true" localSheetId="10" name="_xlnm._FilterDatabase" vbProcedure="false">API!$A$2:$D$27</definedName>
    <definedName function="false" hidden="true" localSheetId="17" name="_xlnm._FilterDatabase" vbProcedure="false">Bitácora!$A$3:$C$8</definedName>
    <definedName function="false" hidden="true" localSheetId="4" name="_xlnm._FilterDatabase" vbProcedure="false">Carpetas!$A$2:$C$21</definedName>
    <definedName function="false" hidden="true" localSheetId="2" name="_xlnm._FilterDatabase" vbProcedure="false">Decisiones!$A$3:$F$15</definedName>
    <definedName function="false" hidden="true" localSheetId="6" name="_xlnm._FilterDatabase" vbProcedure="false">Estados!$A$2:$E$37</definedName>
    <definedName function="false" hidden="true" localSheetId="14" name="_xlnm._FilterDatabase" vbProcedure="false">'Guion demo'!$A$3:$F$21</definedName>
    <definedName function="false" hidden="true" localSheetId="11" name="_xlnm._FilterDatabase" vbProcedure="false">'Mensajes WhatsApp'!$A$3:$F$18</definedName>
    <definedName function="false" hidden="true" localSheetId="3" name="_xlnm._FilterDatabase" vbProcedure="false">'Necesito de ti'!$A$3:$F$19</definedName>
    <definedName function="false" hidden="true" localSheetId="9" name="_xlnm._FilterDatabase" vbProcedure="false">Pantallas!$A$2:$G$14</definedName>
    <definedName function="false" hidden="true" localSheetId="12" name="_xlnm._FilterDatabase" vbProcedure="false">Parametros!$A$3:$D$20</definedName>
    <definedName function="false" hidden="true" localSheetId="13" name="_xlnm._FilterDatabase" vbProcedure="false">Plan!$A$3:$G$39</definedName>
    <definedName function="false" hidden="true" localSheetId="8" name="_xlnm._FilterDatabase" vbProcedure="false">'Reglas e invariantes'!$A$2:$E$16</definedName>
    <definedName function="false" hidden="true" localSheetId="16" name="_xlnm._FilterDatabase" vbProcedure="false">Riesgos!$A$2:$F$13</definedName>
    <definedName function="false" hidden="true" localSheetId="7" name="_xlnm._FilterDatabase" vbProcedure="false">'Roles y permisos'!$A$3:$E$21</definedName>
    <definedName function="false" hidden="true" localSheetId="1" name="_xlnm._FilterDatabase" vbProcedure="false">Stack!$A$3:$E$18</definedName>
    <definedName function="false" hidden="true" localSheetId="5" name="_xlnm._FilterDatabase" vbProcedure="false">'Tablas BD'!$A$3:$D$319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<sst xmlns="http://schemas.openxmlformats.org/spreadsheetml/2006/main" count="2407" uniqueCount="1330">
  <si>
    <t xml:space="preserve">Trazabilidad de Encomiendas — Base del proyecto (MVP demo)</t>
  </si>
  <si>
    <t xml:space="preserve">Cooperativa Unión Transportes Cariamanga · Para: Abel · Uso interno · Documento vivo</t>
  </si>
  <si>
    <t xml:space="preserve">Qué es esto</t>
  </si>
  <si>
    <t xml:space="preserve">Todo lo necesario para construir la demo en un solo libro: stack, decisiones, base de datos, estados, permisos, pantallas, API, mensajes, plan, guion y riesgos. Complementa la spec v5 y la v5.1; donde se contradicen, mandan las enmiendas más recientes (hoja Decisiones). Archivos hermanos: 001_init_mvp.sql y seed.sql.</t>
  </si>
  <si>
    <t xml:space="preserve">Avance (se calcula solo desde la hoja Plan)</t>
  </si>
  <si>
    <t xml:space="preserve">Etapa</t>
  </si>
  <si>
    <t xml:space="preserve">Tareas</t>
  </si>
  <si>
    <t xml:space="preserve">Hechas</t>
  </si>
  <si>
    <t xml:space="preserve">%</t>
  </si>
  <si>
    <t xml:space="preserve">E0 — Reglas del dominio</t>
  </si>
  <si>
    <t xml:space="preserve">E1 — Base de datos</t>
  </si>
  <si>
    <t xml:space="preserve">E2 — Encomienda a escaneo</t>
  </si>
  <si>
    <t xml:space="preserve">E3 — Salida, recepción, redespacho</t>
  </si>
  <si>
    <t xml:space="preserve">E4 — Entrega, mensajes, panel</t>
  </si>
  <si>
    <t xml:space="preserve">Despliegue</t>
  </si>
  <si>
    <t xml:space="preserve">TOTAL</t>
  </si>
  <si>
    <t xml:space="preserve">Criterios de aceptación del MVP</t>
  </si>
  <si>
    <t xml:space="preserve">Entran en el MVP</t>
  </si>
  <si>
    <t xml:space="preserve">Cumplidos</t>
  </si>
  <si>
    <t xml:space="preserve">Hojas</t>
  </si>
  <si>
    <t xml:space="preserve">Stack</t>
  </si>
  <si>
    <t xml:space="preserve">Qué tecnologías y por qué</t>
  </si>
  <si>
    <t xml:space="preserve">Decisiones</t>
  </si>
  <si>
    <t xml:space="preserve">Enmiendas nuevas E-11 a E-22</t>
  </si>
  <si>
    <t xml:space="preserve">Necesito de ti</t>
  </si>
  <si>
    <t xml:space="preserve">Lo que debes darme (pendientes tuyos)</t>
  </si>
  <si>
    <t xml:space="preserve">Carpetas</t>
  </si>
  <si>
    <t xml:space="preserve">Estructura del código</t>
  </si>
  <si>
    <t xml:space="preserve">Tablas BD</t>
  </si>
  <si>
    <t xml:space="preserve">25 tablas, triggers y vista</t>
  </si>
  <si>
    <t xml:space="preserve">Estados</t>
  </si>
  <si>
    <t xml:space="preserve">Máquina de estados del bulto, encomienda y redespacho</t>
  </si>
  <si>
    <t xml:space="preserve">Roles y permisos</t>
  </si>
  <si>
    <t xml:space="preserve">Quién puede qué</t>
  </si>
  <si>
    <t xml:space="preserve">Reglas e invariantes</t>
  </si>
  <si>
    <t xml:space="preserve">Lo que nunca se rompe</t>
  </si>
  <si>
    <t xml:space="preserve">Pantallas</t>
  </si>
  <si>
    <t xml:space="preserve">12 pantallas</t>
  </si>
  <si>
    <t xml:space="preserve">API</t>
  </si>
  <si>
    <t xml:space="preserve">Endpoints</t>
  </si>
  <si>
    <t xml:space="preserve">Mensajes WhatsApp</t>
  </si>
  <si>
    <t xml:space="preserve">Avisos con Evolution</t>
  </si>
  <si>
    <t xml:space="preserve">Parametros</t>
  </si>
  <si>
    <t xml:space="preserve">Configuración y .env</t>
  </si>
  <si>
    <t xml:space="preserve">Plan</t>
  </si>
  <si>
    <t xml:space="preserve">Checklist de tareas</t>
  </si>
  <si>
    <t xml:space="preserve">Guion demo</t>
  </si>
  <si>
    <t xml:space="preserve">La demo paso a paso</t>
  </si>
  <si>
    <t xml:space="preserve">Aceptación</t>
  </si>
  <si>
    <t xml:space="preserve">22 criterios filtrados</t>
  </si>
  <si>
    <t xml:space="preserve">Riesgos</t>
  </si>
  <si>
    <t xml:space="preserve">Qué puede salir mal</t>
  </si>
  <si>
    <t xml:space="preserve">Bitácora</t>
  </si>
  <si>
    <t xml:space="preserve">Historial</t>
  </si>
  <si>
    <t xml:space="preserve">Leyenda</t>
  </si>
  <si>
    <t xml:space="preserve">Encabezado azul oscuro</t>
  </si>
  <si>
    <t xml:space="preserve">títulos de tabla</t>
  </si>
  <si>
    <t xml:space="preserve">Fila celeste</t>
  </si>
  <si>
    <t xml:space="preserve">sección dentro de una hoja</t>
  </si>
  <si>
    <t xml:space="preserve">Listas desplegables</t>
  </si>
  <si>
    <t xml:space="preserve">columnas Estado en Plan, Necesito de ti y Aceptación: se cambian a mano</t>
  </si>
  <si>
    <t xml:space="preserve">Stack recomendado (MVP demo)</t>
  </si>
  <si>
    <t xml:space="preserve">Elegí Next.js porque lo propusiste y encaja: una sola aplicación. Lo que no encaja con cPanel/MySQL se cambió y está documentado en la hoja 'Decisiones'.</t>
  </si>
  <si>
    <t xml:space="preserve">Capa</t>
  </si>
  <si>
    <t xml:space="preserve">Elección</t>
  </si>
  <si>
    <t xml:space="preserve">Por qué</t>
  </si>
  <si>
    <t xml:space="preserve">Alternativa descartada</t>
  </si>
  <si>
    <t xml:space="preserve">Quién lo pone</t>
  </si>
  <si>
    <t xml:space="preserve">Aplicación</t>
  </si>
  <si>
    <t xml:space="preserve">Next.js (App Router) + React + TypeScript estricto</t>
  </si>
  <si>
    <t xml:space="preserve">Un solo proyecto para pantallas Y servidor (API). La v5 pedía Fastify + Vite por separado: son 2 proyectos, 2 despliegues. Para una demo, uno solo es más rápido.</t>
  </si>
  <si>
    <t xml:space="preserve">Fastify + React/Vite (como la v5)</t>
  </si>
  <si>
    <t xml:space="preserve">Yo escribo</t>
  </si>
  <si>
    <t xml:space="preserve">Base de datos</t>
  </si>
  <si>
    <t xml:space="preserve">MySQL / MariaDB del cPanel, motor InnoDB, utf8mb4</t>
  </si>
  <si>
    <t xml:space="preserve">Es lo que tienes. Soporta transacciones, SELECT … FOR UPDATE, triggers y vistas, que es todo lo que el diseño necesita. SQL ya probado en MariaDB 10.11.</t>
  </si>
  <si>
    <t xml:space="preserve">PostgreSQL (la v5 original)</t>
  </si>
  <si>
    <t xml:space="preserve">Tú: acceso. Yo: SQL</t>
  </si>
  <si>
    <t xml:space="preserve">Acceso a BD</t>
  </si>
  <si>
    <t xml:space="preserve">mysql2 con SQL directo</t>
  </si>
  <si>
    <t xml:space="preserve">El diseño depende de transacciones, bloqueos de fila y SQL exacto. Un ORM (Prisma) estorba justo en eso.</t>
  </si>
  <si>
    <t xml:space="preserve">Kysely (SQL tipado)</t>
  </si>
  <si>
    <t xml:space="preserve">Validación</t>
  </si>
  <si>
    <t xml:space="preserve">Zod</t>
  </si>
  <si>
    <t xml:space="preserve">Todo lo que entra a la API se valida con el mismo esquema que usa la pantalla.</t>
  </si>
  <si>
    <t xml:space="preserve">—</t>
  </si>
  <si>
    <t xml:space="preserve">Login y sesión</t>
  </si>
  <si>
    <t xml:space="preserve">argon2id + cookie HttpOnly + tabla `sesion`</t>
  </si>
  <si>
    <t xml:space="preserve">Sin servicios externos. La cookie guarda un token; en BD solo su hash.</t>
  </si>
  <si>
    <t xml:space="preserve">Auth.js (más pesado para 4 usuarios)</t>
  </si>
  <si>
    <t xml:space="preserve">Tailwind CSS (+ componentes simples)</t>
  </si>
  <si>
    <t xml:space="preserve">Rápido y responsive para celular. Botones grandes y colores fuertes para el escaneo.</t>
  </si>
  <si>
    <t xml:space="preserve">shadcn/ui, MUI</t>
  </si>
  <si>
    <t xml:space="preserve">Escáner QR</t>
  </si>
  <si>
    <t xml:space="preserve">BarcodeDetector del navegador + respaldo @zxing/browser; campo para escribir el código XXXX-XXXX</t>
  </si>
  <si>
    <t xml:space="preserve">Si la cámara falla en la demo, se escribe el código y sigue funcionando.</t>
  </si>
  <si>
    <t xml:space="preserve">Lector Bluetooth (entra como teclado; ya funciona con el campo)</t>
  </si>
  <si>
    <t xml:space="preserve">Generar QR y etiquetas</t>
  </si>
  <si>
    <t xml:space="preserve">Paquete `qrcode` + CSS @page + window.print()</t>
  </si>
  <si>
    <t xml:space="preserve">Imprime desde el navegador (E-10). Sin impresora térmica en la demo.</t>
  </si>
  <si>
    <t xml:space="preserve">ESC/POS</t>
  </si>
  <si>
    <t xml:space="preserve">Evolution API (tuyo) detrás de una interfaz `EnviadorMensajes`; adaptador simulado para pruebas</t>
  </si>
  <si>
    <t xml:space="preserve">Con la interfaz, cambiar de proveedor es cambiar un archivo. El simulado permite ensayar sin enviar mensajes reales.</t>
  </si>
  <si>
    <t xml:space="preserve">WhatsApp Cloud API oficial (Meta)</t>
  </si>
  <si>
    <t xml:space="preserve">Tú: Evolution. Yo: adaptador</t>
  </si>
  <si>
    <t xml:space="preserve">Envíos en segundo plano</t>
  </si>
  <si>
    <t xml:space="preserve">Endpoint /api/cron/mensajes + tarea cron de cPanel cada minuto (curl con clave secreta)</t>
  </si>
  <si>
    <t xml:space="preserve">En cPanel no hay un proceso que quede corriendo siempre. El cron es lo fiable. Cola con reintentos.</t>
  </si>
  <si>
    <t xml:space="preserve">Worker propio / Redis (NO: fuera de alcance)</t>
  </si>
  <si>
    <t xml:space="preserve">Tú: crear el cron. Yo: endpoint</t>
  </si>
  <si>
    <t xml:space="preserve">Pruebas</t>
  </si>
  <si>
    <t xml:space="preserve">Vitest (reglas del dominio + integración contra MySQL real) · Playwright opcional para el guion completo</t>
  </si>
  <si>
    <t xml:space="preserve">Las reglas críticas se prueban sin levantar nada. Las de BD, contra una BD real, no con mocks.</t>
  </si>
  <si>
    <t xml:space="preserve">Dónde corre la app</t>
  </si>
  <si>
    <t xml:space="preserve">Opción A: cPanel 'Setup Node.js App' · Opción B: tu laptop con BD remota · Opción C: VPS</t>
  </si>
  <si>
    <t xml:space="preserve">Depende de lo que tenga tu cPanel (ver hoja 'Necesito de ti'). Para la demo en vivo, B es la más simple y segura.</t>
  </si>
  <si>
    <t xml:space="preserve">Tú decides</t>
  </si>
  <si>
    <t xml:space="preserve">HTTPS</t>
  </si>
  <si>
    <t xml:space="preserve">Obligatorio (excepto localhost)</t>
  </si>
  <si>
    <t xml:space="preserve">El navegador solo permite usar la cámara en páginas con HTTPS.</t>
  </si>
  <si>
    <t xml:space="preserve">Tú: dominio/SSL</t>
  </si>
  <si>
    <t xml:space="preserve">Control de versiones</t>
  </si>
  <si>
    <t xml:space="preserve">Git</t>
  </si>
  <si>
    <t xml:space="preserve">Para ir viendo cada avance y poder volver atrás.</t>
  </si>
  <si>
    <t xml:space="preserve">Tú</t>
  </si>
  <si>
    <t xml:space="preserve">NO usamos</t>
  </si>
  <si>
    <t xml:space="preserve">Redis · microservicios · Service Worker/offline · Prisma · row-level security</t>
  </si>
  <si>
    <t xml:space="preserve">Fuera del MVP (E-01, E-08) o no encajan con MySQL/cPanel.</t>
  </si>
  <si>
    <t xml:space="preserve">Enmiendas nuevas (continúan E-01 a E-10 de la v5.1)</t>
  </si>
  <si>
    <t xml:space="preserve">Copiar estas filas a la bitácora de enmiendas_v5.1. Regla: donde esto y la v5 se contradicen, manda esto.</t>
  </si>
  <si>
    <t xml:space="preserve">Enmienda</t>
  </si>
  <si>
    <t xml:space="preserve">Decisión</t>
  </si>
  <si>
    <t xml:space="preserve">Qué cambia respecto a la v5 / v5.1</t>
  </si>
  <si>
    <t xml:space="preserve">Motivo</t>
  </si>
  <si>
    <t xml:space="preserve">Estado</t>
  </si>
  <si>
    <t xml:space="preserve">Quién decide</t>
  </si>
  <si>
    <t xml:space="preserve">E-11</t>
  </si>
  <si>
    <t xml:space="preserve">Base de datos: PostgreSQL → MySQL/MariaDB (cPanel)</t>
  </si>
  <si>
    <t xml:space="preserve">Tipos (uuid→CHAR(36), jsonb→JSON, timestamptz→DATETIME(3) en UTC). Los UUID los genera la app. Índices únicos parciales → columna `vigente_key` que escribe la app (NULL = no vigente) + índice único. `bool_and/bool_or` → MIN()/MAX(). Sin RETURNING: el contador de intentos usa LAST_INSERT_ID(intentos+1). Triggers con SIGNAL SQLSTATE '45000'.</t>
  </si>
  <si>
    <t xml:space="preserve">Tu stack es cPanel (MySQL/MariaDB). Probé el SQL en MariaDB 10.11: me falló usar columnas generadas con índice único, por eso el cambio a `vigente_key`. Falta probarlo en TU cPanel.</t>
  </si>
  <si>
    <t xml:space="preserve">Aceptada (por tu stack)</t>
  </si>
  <si>
    <t xml:space="preserve">Abel</t>
  </si>
  <si>
    <t xml:space="preserve">E-12</t>
  </si>
  <si>
    <t xml:space="preserve">Aplicación: Fastify + Vite → Next.js full-stack</t>
  </si>
  <si>
    <t xml:space="preserve">Un solo proyecto. Las rutas /api reemplazan a Fastify. `domain/` sigue puro e independiente (regla de oro de la v5).</t>
  </si>
  <si>
    <t xml:space="preserve">Lo pediste y reduce piezas para una demo.</t>
  </si>
  <si>
    <t xml:space="preserve">Propuesta (recomendada)</t>
  </si>
  <si>
    <t xml:space="preserve">E-13</t>
  </si>
  <si>
    <t xml:space="preserve">WhatsApp: adaptador simulado → Evolution API</t>
  </si>
  <si>
    <t xml:space="preserve">Se agrega `evolution.ts` implementando `EnviadorMensajes`. El simulado se conserva para pruebas y ensayos. Cambia E-04.</t>
  </si>
  <si>
    <t xml:space="preserve">Ya tienes Evolution. Ojo: los mensajes serán REALES; en la demo, solo a números propios.</t>
  </si>
  <si>
    <t xml:space="preserve">Aceptada</t>
  </si>
  <si>
    <t xml:space="preserve">E-14</t>
  </si>
  <si>
    <t xml:space="preserve">Avisos de avance al destinatario (tu 'dónde va su pedido')</t>
  </si>
  <si>
    <t xml:space="preserve">La v5 limitaba a 3 mensajes y NO avisaba en paradas intermedias. Se propone: registro · en camino · llegó a agencia intermedia · disponible + código. Parámetro `mensajes.max_por_encomienda` de 3 → 5. Los textos dicen 'última información registrada', nunca ubicación en vivo.</t>
  </si>
  <si>
    <t xml:space="preserve">Es lo que pediste. Pero la v5 lo había acotado por decisión de Cheche (costo y ruido): necesita su visto bueno antes de producción. En la demo no hay costo por mensaje con Evolution.</t>
  </si>
  <si>
    <t xml:space="preserve">Propuesta — confirmar con Cheche</t>
  </si>
  <si>
    <t xml:space="preserve">Cheche</t>
  </si>
  <si>
    <t xml:space="preserve">E-15</t>
  </si>
  <si>
    <t xml:space="preserve">Envío de mensajes por cron, no por worker permanente</t>
  </si>
  <si>
    <t xml:space="preserve">`notificacion` se mantiene como cola. Un cron de cPanel llama /api/cron/mensajes cada minuto. Se mantiene dedupe_key y reintentos con espera creciente.</t>
  </si>
  <si>
    <t xml:space="preserve">cPanel no mantiene procesos corriendo. Retraso máximo ~1 min, aceptable.</t>
  </si>
  <si>
    <t xml:space="preserve">E-16</t>
  </si>
  <si>
    <t xml:space="preserve">Cotización: detalle por bulto</t>
  </si>
  <si>
    <t xml:space="preserve">`cotizacion.regla_id` → `cotizacion.detalle` (JSON con la regla aplicada a cada bulto). Se quitan `regla_id`, `foto`.</t>
  </si>
  <si>
    <t xml:space="preserve">Error de la v5: se cotiza por bulto pero guardaba una sola regla. (Sigue pendiente confirmar si la cooperativa cobra por bulto o por encomienda.)</t>
  </si>
  <si>
    <t xml:space="preserve">E-17</t>
  </si>
  <si>
    <t xml:space="preserve">Tabla `sesion` nueva</t>
  </si>
  <si>
    <t xml:space="preserve">Guarda el hash del token de la cookie, expiración y último uso (cierre por inactividad).</t>
  </si>
  <si>
    <t xml:space="preserve">La v5 pedía sesiones pero no definía dónde se guardan.</t>
  </si>
  <si>
    <t xml:space="preserve">E-18</t>
  </si>
  <si>
    <t xml:space="preserve">Zona horaria</t>
  </si>
  <si>
    <t xml:space="preserve">Todo se guarda en UTC. Las pantallas muestran America/Guayaquil (UTC-5).</t>
  </si>
  <si>
    <t xml:space="preserve">Los servidores de cPanel suelen estar en otra zona; evita que 'vencido' y las horas salgan mal.</t>
  </si>
  <si>
    <t xml:space="preserve">E-19</t>
  </si>
  <si>
    <t xml:space="preserve">Entrega: el codigo se verifica DENTRO de la misma peticion de entrega</t>
  </si>
  <si>
    <t xml:space="preserve">Se elimina el endpoint /entregas/verificar-codigo. La v5 devolvia un codigoId que el cliente reenviaba: un cliente malicioso podia reenviar un id sin haber acertado el codigo. Ahora POST /api/entregas recibe el codigo, lo verifica (intento contado de forma atomica, fuera de la transaccion) y entrega.</t>
  </si>
  <si>
    <t xml:space="preserve">Cierra un hueco de seguridad de la v5.</t>
  </si>
  <si>
    <t xml:space="preserve">Aceptada (implementada)</t>
  </si>
  <si>
    <t xml:space="preserve">E-20</t>
  </si>
  <si>
    <t xml:space="preserve">Entrega parcial: el supervisor se identifica en el momento</t>
  </si>
  <si>
    <t xml:space="preserve">El formulario pide correo y contrasena del supervisor (verificados en el servidor); debe ser otra persona distinta de quien entrega. Reemplaza el `supervisorId` que la v5 pasaba sin verificar.</t>
  </si>
  <si>
    <t xml:space="preserve">Nadie aprueba 'en nombre de' otro.</t>
  </si>
  <si>
    <t xml:space="preserve">E-21</t>
  </si>
  <si>
    <t xml:space="preserve">Incidencias sobrante / descarga incorrecta bloquean la salida hasta resolverse</t>
  </si>
  <si>
    <t xml:space="preserve">Se mantiene la regla v5 (no excepcionables). Consecuencia en la demo: tras un escaneo ajeno o un intento de bajar un bulto que continua, el supervisor debe RESOLVER la incidencia antes de autorizar. El guion lo incluye.</t>
  </si>
  <si>
    <t xml:space="preserve">Es el comportamiento de la v5; se hace explicito en el guion.</t>
  </si>
  <si>
    <t xml:space="preserve">E-22</t>
  </si>
  <si>
    <t xml:space="preserve">Modo prueba de mensajes por variables de entorno</t>
  </si>
  <si>
    <t xml:space="preserve">MENSAJES_PROVEEDOR y MENSAJES_NUMEROS_PERMITIDOS viven en .env (no en la tabla parametro). Con evolution solo se envia a los numeros permitidos; el codigo de retiro se redacta tras enviarse.</t>
  </si>
  <si>
    <t xml:space="preserve">Evita enviar mensajes reales por accidente.</t>
  </si>
  <si>
    <t xml:space="preserve">Lo que necesito de ti</t>
  </si>
  <si>
    <t xml:space="preserve">Cámbiale el estado a 'Entregado' conforme lo vayas teniendo. Nunca me pases contraseñas ni API keys por el chat: van en el archivo .env de tu equipo.</t>
  </si>
  <si>
    <t xml:space="preserve">#</t>
  </si>
  <si>
    <t xml:space="preserve">Qué necesito</t>
  </si>
  <si>
    <t xml:space="preserve">Para qué</t>
  </si>
  <si>
    <t xml:space="preserve">Cómo dármelo</t>
  </si>
  <si>
    <t xml:space="preserve">Cuándo</t>
  </si>
  <si>
    <t xml:space="preserve">Versión de MySQL/MariaDB del cPanel</t>
  </si>
  <si>
    <t xml:space="preserve">Ajusto el SQL a tu versión exacta</t>
  </si>
  <si>
    <t xml:space="preserve">En phpMyAdmin ejecuta: SELECT VERSION();  y me pasas el resultado</t>
  </si>
  <si>
    <t xml:space="preserve">Bloquea E1</t>
  </si>
  <si>
    <t xml:space="preserve">Pendiente</t>
  </si>
  <si>
    <t xml:space="preserve">Prueba de TRIGGERS en tu cPanel</t>
  </si>
  <si>
    <t xml:space="preserve">Los eventos inmutables dependen de triggers. En hosting compartido a veces están bloqueados</t>
  </si>
  <si>
    <t xml:space="preserve">En phpMyAdmin → SQL, pega: CREATE TABLE z(a INT); CREATE TRIGGER z_t BEFORE UPDATE ON z FOR EACH ROW SIGNAL SQLSTATE '45000' SET MESSAGE_TEXT='no'; -- si da error 1419 o 'SUPER privilege', avísame. Luego: DROP TABLE z;</t>
  </si>
  <si>
    <t xml:space="preserve">Bloquea E1 (crítico)</t>
  </si>
  <si>
    <t xml:space="preserve">Datos de conexión a la BD: host, puerto, nombre de la BD, usuario</t>
  </si>
  <si>
    <t xml:space="preserve">Para armar el .env</t>
  </si>
  <si>
    <t xml:space="preserve">NO me pases la contraseña por el chat: va solo en tu archivo .env local. Dime si el host es 'localhost' (app en el mismo cPanel) o remoto.</t>
  </si>
  <si>
    <t xml:space="preserve">¿Acceso remoto a MySQL habilitado? (cPanel → 'Remote MySQL')</t>
  </si>
  <si>
    <t xml:space="preserve">Si la app corre en tu laptop, la BD debe aceptar tu IP</t>
  </si>
  <si>
    <t xml:space="preserve">Agrega tu IP pública (no uses el comodín %). Dime si lo permite tu hosting</t>
  </si>
  <si>
    <t xml:space="preserve">Solo si opción B</t>
  </si>
  <si>
    <t xml:space="preserve">¿Tu cPanel tiene 'Setup Node.js App'? ¿Qué versiones de Node?</t>
  </si>
  <si>
    <t xml:space="preserve">Necesito Node 20 o superior para correr Next.js ahí</t>
  </si>
  <si>
    <t xml:space="preserve">Captura o texto de esa pantalla. Si no existe, la app corre en tu laptop (opción B) o en un VPS</t>
  </si>
  <si>
    <t xml:space="preserve">Bloquea el despliegue (no E0)</t>
  </si>
  <si>
    <t xml:space="preserve">Dónde se hará la demo en vivo</t>
  </si>
  <si>
    <t xml:space="preserve">Define opción A / B / C del Stack</t>
  </si>
  <si>
    <t xml:space="preserve">Laptop, cPanel o VPS; y si hay un dominio/subdominio con HTTPS (la cámara lo exige)</t>
  </si>
  <si>
    <t xml:space="preserve">Antes de E4</t>
  </si>
  <si>
    <t xml:space="preserve">Evolution API: URL base, nombre de la instancia y versión (v1 o v2)</t>
  </si>
  <si>
    <t xml:space="preserve">El formato de la petición de envío cambia entre versiones</t>
  </si>
  <si>
    <t xml:space="preserve">URL e instancia sí me los puedes pasar. La API key va solo en el .env, no en el chat</t>
  </si>
  <si>
    <t xml:space="preserve">Bloquea E4</t>
  </si>
  <si>
    <t xml:space="preserve">¿La instancia de Evolution ya tiene el WhatsApp conectado (QR escaneado)?</t>
  </si>
  <si>
    <t xml:space="preserve">Sin eso no sale ningún mensaje</t>
  </si>
  <si>
    <t xml:space="preserve">Sí / No</t>
  </si>
  <si>
    <t xml:space="preserve">Número(s) de WhatsApp de prueba para recibir los avisos</t>
  </si>
  <si>
    <t xml:space="preserve">En la demo los mensajes son reales. Solo debemos enviar a números tuyos o de gente que lo sepa</t>
  </si>
  <si>
    <t xml:space="preserve">Formato internacional sin +: 5939XXXXXXXX</t>
  </si>
  <si>
    <t xml:space="preserve">Confirmar: ¿el número de Evolution es dedicado?</t>
  </si>
  <si>
    <t xml:space="preserve">Evolution usa WhatsApp Web (no oficial): si se abusa, pueden bloquear el número. No uses el personal principal</t>
  </si>
  <si>
    <t xml:space="preserve">Sí/No. Recomendado: línea aparte</t>
  </si>
  <si>
    <t xml:space="preserve">Visto bueno de Cheche a los avisos de avance (E-14)</t>
  </si>
  <si>
    <t xml:space="preserve">La v5 los limitaba. Para la demo avanzo con el modo ampliado, pero debe quedar decidido</t>
  </si>
  <si>
    <t xml:space="preserve">Sí / No / Solo registro y disponible</t>
  </si>
  <si>
    <t xml:space="preserve">Antes de producción</t>
  </si>
  <si>
    <t xml:space="preserve">¿Los avisos van solo al destinatario o también al remitente?</t>
  </si>
  <si>
    <t xml:space="preserve">Es el bloqueante 7 de la v5</t>
  </si>
  <si>
    <t xml:space="preserve">Decisión de Cheche. En la demo: solo destinatario</t>
  </si>
  <si>
    <t xml:space="preserve">En tu PC: Node 20+, Git y editor instalados</t>
  </si>
  <si>
    <t xml:space="preserve">Para correr el proyecto y las pruebas</t>
  </si>
  <si>
    <t xml:space="preserve">Dime qué sistema operativo usas</t>
  </si>
  <si>
    <t xml:space="preserve">Bloquea E0</t>
  </si>
  <si>
    <t xml:space="preserve">Para la demo: celulares con cámara y forma de imprimir etiquetas (o PDF)</t>
  </si>
  <si>
    <t xml:space="preserve">Probar escaneo real</t>
  </si>
  <si>
    <t xml:space="preserve">Con 1–2 celulares basta</t>
  </si>
  <si>
    <t xml:space="preserve">Nombre/logo de la cooperativa para pantallas y mensajes (opcional)</t>
  </si>
  <si>
    <t xml:space="preserve">Se ve más real. Por defecto: 'Unión Transportes Cariamanga (DEMO)'</t>
  </si>
  <si>
    <t xml:space="preserve">Texto y/o imagen</t>
  </si>
  <si>
    <t xml:space="preserve">Opcional</t>
  </si>
  <si>
    <t xml:space="preserve">Datos reales de la cooperativa</t>
  </si>
  <si>
    <t xml:space="preserve">NINGUNO. La demo usa datos ficticios (tarifas, rutas, personas)</t>
  </si>
  <si>
    <t xml:space="preserve">No se necesita</t>
  </si>
  <si>
    <t xml:space="preserve">No aplica</t>
  </si>
  <si>
    <t xml:space="preserve">Estructura del proyecto</t>
  </si>
  <si>
    <t xml:space="preserve">Ruta</t>
  </si>
  <si>
    <t xml:space="preserve">Qué contiene</t>
  </si>
  <si>
    <t xml:space="preserve">Regla / nota</t>
  </si>
  <si>
    <t xml:space="preserve">/</t>
  </si>
  <si>
    <t xml:space="preserve">Raíz del proyecto Next.js</t>
  </si>
  <si>
    <t xml:space="preserve">package.json, tsconfig.json (strict), next.config, vitest.config, .env.example</t>
  </si>
  <si>
    <t xml:space="preserve">src/domain/</t>
  </si>
  <si>
    <t xml:space="preserve">REGLAS PURAS: estados.ts, escaneo.ts, salida.ts, tarifa.ts, codigos.ts</t>
  </si>
  <si>
    <t xml:space="preserve">Regla de oro: NO importa BD, HTTP ni Next. Se prueba sin levantar nada</t>
  </si>
  <si>
    <t xml:space="preserve">src/server/db/</t>
  </si>
  <si>
    <t xml:space="preserve">Pool mysql2, helper de transacciones, consultas</t>
  </si>
  <si>
    <t xml:space="preserve">Una transacción por operación; SELECT … FOR UPDATE sobre la fila que cambia</t>
  </si>
  <si>
    <t xml:space="preserve">src/server/services/</t>
  </si>
  <si>
    <t xml:space="preserve">escanear, manifiesto, salida, recepcion, redespacho, entrega, encomienda, cotizacion</t>
  </si>
  <si>
    <t xml:space="preserve">Aquí se une el dominio puro con la BD</t>
  </si>
  <si>
    <t xml:space="preserve">src/server/auth/</t>
  </si>
  <si>
    <t xml:space="preserve">Login, sesión, cookies, permisos (exigirRol), permisos por agencia</t>
  </si>
  <si>
    <t xml:space="preserve">argon2id; cookie HttpOnly</t>
  </si>
  <si>
    <t xml:space="preserve">src/server/mensajes/</t>
  </si>
  <si>
    <t xml:space="preserve">interfaz EnviadorMensajes, evolution.ts, simulado.ts, plantillas.ts, cola.ts</t>
  </si>
  <si>
    <t xml:space="preserve">Cambiar de proveedor = cambiar un archivo</t>
  </si>
  <si>
    <t xml:space="preserve">src/server/comun/</t>
  </si>
  <si>
    <t xml:space="preserve">ErrorNegocio, param() (lee la tabla parametro), reloj, uuid</t>
  </si>
  <si>
    <t xml:space="preserve">Son las funciones auxiliares que la v5 dejó sin definir</t>
  </si>
  <si>
    <t xml:space="preserve">src/shared/</t>
  </si>
  <si>
    <t xml:space="preserve">Tipos, esquemas Zod, matriz de permisos</t>
  </si>
  <si>
    <t xml:space="preserve">Lo comparten pantallas y servidor</t>
  </si>
  <si>
    <t xml:space="preserve">src/app/(auth)/login/</t>
  </si>
  <si>
    <t xml:space="preserve">Pantalla 1: Login</t>
  </si>
  <si>
    <t xml:space="preserve">src/app/(app)/…</t>
  </si>
  <si>
    <t xml:space="preserve">Pantallas 2–9 (ver hoja Pantallas)</t>
  </si>
  <si>
    <t xml:space="preserve">Layout con menú por rol</t>
  </si>
  <si>
    <t xml:space="preserve">src/app/api/…</t>
  </si>
  <si>
    <t xml:space="preserve">Endpoints (ver hoja API)</t>
  </si>
  <si>
    <t xml:space="preserve">Route handlers; validan con Zod y llaman a services</t>
  </si>
  <si>
    <t xml:space="preserve">src/app/q/[token]/</t>
  </si>
  <si>
    <t xml:space="preserve">Página pública del QR</t>
  </si>
  <si>
    <t xml:space="preserve">Responde IGUAL con token válido o inválido</t>
  </si>
  <si>
    <t xml:space="preserve">db/</t>
  </si>
  <si>
    <t xml:space="preserve">001_init_mvp.sql y seed.sql</t>
  </si>
  <si>
    <t xml:space="preserve">Ya entregados y probados en MariaDB 10.11</t>
  </si>
  <si>
    <t xml:space="preserve">scripts/</t>
  </si>
  <si>
    <t xml:space="preserve">seed-usuarios.ts (pone el hash argon2), reset-demo.ts (deja la demo como nueva)</t>
  </si>
  <si>
    <t xml:space="preserve">reset-demo permite repetir el guion cuantas veces haga falta</t>
  </si>
  <si>
    <t xml:space="preserve">tests/unit/</t>
  </si>
  <si>
    <t xml:space="preserve">Pruebas del dominio (v5 §10.1, sin offline)</t>
  </si>
  <si>
    <t xml:space="preserve">Primero en escribirse</t>
  </si>
  <si>
    <t xml:space="preserve">tests/integration/</t>
  </si>
  <si>
    <t xml:space="preserve">Pruebas contra MySQL real: concurrencia, idempotencia, trigger, intentos, vigencia</t>
  </si>
  <si>
    <t xml:space="preserve">Sin mocks</t>
  </si>
  <si>
    <t xml:space="preserve">tests/e2e/</t>
  </si>
  <si>
    <t xml:space="preserve">El guion de la demo completo</t>
  </si>
  <si>
    <t xml:space="preserve">Es la prueba principal</t>
  </si>
  <si>
    <t xml:space="preserve">docs/</t>
  </si>
  <si>
    <t xml:space="preserve">trazabilidad_encomiendas_v5, enmiendas_v5.1, este Excel</t>
  </si>
  <si>
    <t xml:space="preserve">Documento vivo</t>
  </si>
  <si>
    <t xml:space="preserve">.env.example</t>
  </si>
  <si>
    <t xml:space="preserve">DATABASE_*, SESSION_SECRET, RETIRO_HMAC_SECRET, EVOLUTION_*, CRON_SECRET, MENSAJES_PROVEEDOR</t>
  </si>
  <si>
    <t xml:space="preserve">El .env real NUNCA va al repositorio</t>
  </si>
  <si>
    <t xml:space="preserve">Base de datos (25 tablas) — archivo: 001_init_mvp.sql</t>
  </si>
  <si>
    <t xml:space="preserve">Esta hoja y el .sql salen de la misma definición, así que no se contradicen. Quitado respecto a la v5 por E-01/E-10: pin_hash, seq_cliente, campos offline, ajuste_cotizacion, params_cifrados, sustituto_de, foto.</t>
  </si>
  <si>
    <t xml:space="preserve">Tabla</t>
  </si>
  <si>
    <t xml:space="preserve">Columna</t>
  </si>
  <si>
    <t xml:space="preserve">Tipo y restricciones (MySQL/MariaDB)</t>
  </si>
  <si>
    <t xml:space="preserve">Nota</t>
  </si>
  <si>
    <t xml:space="preserve">agencia — Agencias de la cooperativa (Quito, Loja, Zumba en la demo)</t>
  </si>
  <si>
    <t xml:space="preserve">agencia</t>
  </si>
  <si>
    <t xml:space="preserve">id</t>
  </si>
  <si>
    <t xml:space="preserve">CHAR(36) NOT NULL</t>
  </si>
  <si>
    <t xml:space="preserve">UUID generado por la app (crypto.randomUUID)</t>
  </si>
  <si>
    <t xml:space="preserve">nombre</t>
  </si>
  <si>
    <t xml:space="preserve">VARCHAR(80) NOT NULL</t>
  </si>
  <si>
    <t xml:space="preserve">ciudad</t>
  </si>
  <si>
    <t xml:space="preserve">VARCHAR(80) NULL</t>
  </si>
  <si>
    <t xml:space="preserve">activa</t>
  </si>
  <si>
    <t xml:space="preserve">TINYINT(1) NOT NULL DEFAULT 1</t>
  </si>
  <si>
    <t xml:space="preserve">(restricción / índice)</t>
  </si>
  <si>
    <t xml:space="preserve">PRIMARY KEY (id)</t>
  </si>
  <si>
    <t xml:space="preserve">usuario — Cuentas individuales. Se desactivan, no se borran</t>
  </si>
  <si>
    <t xml:space="preserve">usuario</t>
  </si>
  <si>
    <t xml:space="preserve">VARCHAR(100) NOT NULL</t>
  </si>
  <si>
    <t xml:space="preserve">email</t>
  </si>
  <si>
    <t xml:space="preserve">VARCHAR(120) NOT NULL</t>
  </si>
  <si>
    <t xml:space="preserve">password_hash</t>
  </si>
  <si>
    <t xml:space="preserve">VARCHAR(255) NOT NULL</t>
  </si>
  <si>
    <t xml:space="preserve">argon2id; lo escribe el script de seed</t>
  </si>
  <si>
    <t xml:space="preserve">activo</t>
  </si>
  <si>
    <t xml:space="preserve">creado_at</t>
  </si>
  <si>
    <t xml:space="preserve">DATETIME(3) NOT NULL DEFAULT CURRENT_TIMESTAMP(3)</t>
  </si>
  <si>
    <t xml:space="preserve">UNIQUE KEY uq_usuario_email (email)</t>
  </si>
  <si>
    <t xml:space="preserve">usuario_rol — Qué rol tiene cada usuario y en qué agencia (agencia NULL = todas)</t>
  </si>
  <si>
    <t xml:space="preserve">usuario_rol</t>
  </si>
  <si>
    <t xml:space="preserve">usuario_id</t>
  </si>
  <si>
    <t xml:space="preserve">rol</t>
  </si>
  <si>
    <t xml:space="preserve">ENUM('operador','despachador','ayudante','guardia','responsable_agencia','evaluador','supervisor','gerente','admin') NOT NULL</t>
  </si>
  <si>
    <t xml:space="preserve">agencia_id</t>
  </si>
  <si>
    <t xml:space="preserve">CHAR(36) NULL</t>
  </si>
  <si>
    <t xml:space="preserve">NULL = todas las agencias</t>
  </si>
  <si>
    <t xml:space="preserve">agencia_key</t>
  </si>
  <si>
    <t xml:space="preserve">CHAR(36) NOT NULL DEFAULT 'todas'</t>
  </si>
  <si>
    <t xml:space="preserve">Igual a agencia_id, o 'todas' si agencia_id es NULL. La escribe la app; permite un índice único que trate NULL como valor</t>
  </si>
  <si>
    <t xml:space="preserve">UNIQUE KEY uq_usuario_rol (usuario_id, rol, agencia_key)</t>
  </si>
  <si>
    <t xml:space="preserve">FOREIGN KEY (usuario_id) REFERENCES usuario(id)</t>
  </si>
  <si>
    <t xml:space="preserve">FOREIGN KEY (agencia_id) REFERENCES agencia(id)</t>
  </si>
  <si>
    <t xml:space="preserve">sesion — Sesiones de login (NUEVA: la v5 no la definía). Se guarda el hash del token de la cookie</t>
  </si>
  <si>
    <t xml:space="preserve">sesion</t>
  </si>
  <si>
    <t xml:space="preserve">CHAR(64) NOT NULL</t>
  </si>
  <si>
    <t xml:space="preserve">SHA-256 (hex) del token de la cookie</t>
  </si>
  <si>
    <t xml:space="preserve">expira_at</t>
  </si>
  <si>
    <t xml:space="preserve">DATETIME(3) NOT NULL</t>
  </si>
  <si>
    <t xml:space="preserve">ultimo_uso_at</t>
  </si>
  <si>
    <t xml:space="preserve">Cierre por inactividad</t>
  </si>
  <si>
    <t xml:space="preserve">ruta — Rutas</t>
  </si>
  <si>
    <t xml:space="preserve">ruta</t>
  </si>
  <si>
    <t xml:space="preserve">parada — Paradas de una ruta, en orden</t>
  </si>
  <si>
    <t xml:space="preserve">parada</t>
  </si>
  <si>
    <t xml:space="preserve">ruta_id</t>
  </si>
  <si>
    <t xml:space="preserve">orden</t>
  </si>
  <si>
    <t xml:space="preserve">INT NOT NULL</t>
  </si>
  <si>
    <t xml:space="preserve">1, 2, 3...</t>
  </si>
  <si>
    <t xml:space="preserve">NULL = parada sin agencia: ahí no puede bajar ni redespacharse un bulto</t>
  </si>
  <si>
    <t xml:space="preserve">tiene_guardia</t>
  </si>
  <si>
    <t xml:space="preserve">TINYINT(1) NOT NULL DEFAULT 0</t>
  </si>
  <si>
    <t xml:space="preserve">UNIQUE KEY uq_parada_orden (ruta_id, orden)</t>
  </si>
  <si>
    <t xml:space="preserve">FOREIGN KEY (ruta_id) REFERENCES ruta(id)</t>
  </si>
  <si>
    <t xml:space="preserve">viaje — Un bus saliendo en una fecha por una ruta</t>
  </si>
  <si>
    <t xml:space="preserve">viaje</t>
  </si>
  <si>
    <t xml:space="preserve">fecha</t>
  </si>
  <si>
    <t xml:space="preserve">DATE NOT NULL</t>
  </si>
  <si>
    <t xml:space="preserve">vehiculo</t>
  </si>
  <si>
    <t xml:space="preserve">VARCHAR(40) NOT NULL</t>
  </si>
  <si>
    <t xml:space="preserve">Placa o número de bus</t>
  </si>
  <si>
    <t xml:space="preserve">conductor</t>
  </si>
  <si>
    <t xml:space="preserve">estado</t>
  </si>
  <si>
    <t xml:space="preserve">ENUM('planificado','manifiesto_cerrado','en_ruta','cerrado') NOT NULL DEFAULT 'planificado'</t>
  </si>
  <si>
    <t xml:space="preserve">parada_actual</t>
  </si>
  <si>
    <t xml:space="preserve">INT NOT NULL DEFAULT 1</t>
  </si>
  <si>
    <t xml:space="preserve">creado_por</t>
  </si>
  <si>
    <t xml:space="preserve">FOREIGN KEY (creado_por) REFERENCES usuario(id)</t>
  </si>
  <si>
    <t xml:space="preserve">tarifa_version — Versión de la tabla de tarifas (la tarifa la decide una tabla, nunca un modelo)</t>
  </si>
  <si>
    <t xml:space="preserve">tarifa_version</t>
  </si>
  <si>
    <t xml:space="preserve">vigente_desde</t>
  </si>
  <si>
    <t xml:space="preserve">factor_volumetrico</t>
  </si>
  <si>
    <t xml:space="preserve">cm³ por kg</t>
  </si>
  <si>
    <t xml:space="preserve">etiqueta</t>
  </si>
  <si>
    <t xml:space="preserve">En la demo: TARIFAS DE DEMOSTRACIÓN (se muestra en pantalla)</t>
  </si>
  <si>
    <t xml:space="preserve">creada_por</t>
  </si>
  <si>
    <t xml:space="preserve">creada_at</t>
  </si>
  <si>
    <t xml:space="preserve">FOREIGN KEY (creada_por) REFERENCES usuario(id)</t>
  </si>
  <si>
    <t xml:space="preserve">tarifa_regla — Rango de peso facturable → precio, por origen y destino</t>
  </si>
  <si>
    <t xml:space="preserve">tarifa_regla</t>
  </si>
  <si>
    <t xml:space="preserve">tarifa_version_id</t>
  </si>
  <si>
    <t xml:space="preserve">origen_agencia_id</t>
  </si>
  <si>
    <t xml:space="preserve">destino_agencia_id</t>
  </si>
  <si>
    <t xml:space="preserve">peso_fact_desde_g</t>
  </si>
  <si>
    <t xml:space="preserve">incluido</t>
  </si>
  <si>
    <t xml:space="preserve">peso_fact_hasta_g</t>
  </si>
  <si>
    <t xml:space="preserve">excluido</t>
  </si>
  <si>
    <t xml:space="preserve">precio_cent</t>
  </si>
  <si>
    <t xml:space="preserve">Centavos. Sin decimales flotantes</t>
  </si>
  <si>
    <t xml:space="preserve">CHECK (precio_cent &gt;= 0)</t>
  </si>
  <si>
    <t xml:space="preserve">CHECK (peso_fact_hasta_g &gt; peso_fact_desde_g)</t>
  </si>
  <si>
    <t xml:space="preserve">FOREIGN KEY (tarifa_version_id) REFERENCES tarifa_version(id)</t>
  </si>
  <si>
    <t xml:space="preserve">FOREIGN KEY (origen_agencia_id) REFERENCES agencia(id)</t>
  </si>
  <si>
    <t xml:space="preserve">FOREIGN KEY (destino_agencia_id) REFERENCES agencia(id)</t>
  </si>
  <si>
    <t xml:space="preserve">encomienda — Lo que el cliente envía (puede tener varios bultos)</t>
  </si>
  <si>
    <t xml:space="preserve">encomienda</t>
  </si>
  <si>
    <t xml:space="preserve">codigo</t>
  </si>
  <si>
    <t xml:space="preserve">VARCHAR(20) NOT NULL</t>
  </si>
  <si>
    <t xml:space="preserve">Aleatorio, no secuencial</t>
  </si>
  <si>
    <t xml:space="preserve">remitente_nombre</t>
  </si>
  <si>
    <t xml:space="preserve">remitente_tel</t>
  </si>
  <si>
    <t xml:space="preserve">VARCHAR(20) NULL</t>
  </si>
  <si>
    <t xml:space="preserve">dest_nombre</t>
  </si>
  <si>
    <t xml:space="preserve">dest_tel</t>
  </si>
  <si>
    <t xml:space="preserve">Formato internacional sin +, ej. 5939XXXXXXXX (para Evolution)</t>
  </si>
  <si>
    <t xml:space="preserve">contenido_declarado</t>
  </si>
  <si>
    <t xml:space="preserve">VARCHAR(255) NULL</t>
  </si>
  <si>
    <t xml:space="preserve">valor_declarado_cent</t>
  </si>
  <si>
    <t xml:space="preserve">INT NULL</t>
  </si>
  <si>
    <t xml:space="preserve">ref_externa</t>
  </si>
  <si>
    <t xml:space="preserve">VARCHAR(60) NULL</t>
  </si>
  <si>
    <t xml:space="preserve">N.º de guía del software actual (única 'integración')</t>
  </si>
  <si>
    <t xml:space="preserve">UNIQUE KEY uq_encomienda_codigo (codigo)</t>
  </si>
  <si>
    <t xml:space="preserve">bulto — Cada caja/paquete con su etiqueta. Es lo que se sigue</t>
  </si>
  <si>
    <t xml:space="preserve">bulto</t>
  </si>
  <si>
    <t xml:space="preserve">encomienda_id</t>
  </si>
  <si>
    <t xml:space="preserve">numero</t>
  </si>
  <si>
    <t xml:space="preserve">1, 2, 3 dentro de la encomienda</t>
  </si>
  <si>
    <t xml:space="preserve">qr_token</t>
  </si>
  <si>
    <t xml:space="preserve">CHAR(26) NOT NULL</t>
  </si>
  <si>
    <t xml:space="preserve">128 bits aleatorios en base32 Crockford</t>
  </si>
  <si>
    <t xml:space="preserve">codigo_legible</t>
  </si>
  <si>
    <t xml:space="preserve">CHAR(8) NOT NULL</t>
  </si>
  <si>
    <t xml:space="preserve">8 caracteres aleatorios; se muestra XXXX-XXXX; NO secuencial</t>
  </si>
  <si>
    <t xml:space="preserve">peso_g</t>
  </si>
  <si>
    <t xml:space="preserve">largo_mm</t>
  </si>
  <si>
    <t xml:space="preserve">ancho_mm</t>
  </si>
  <si>
    <t xml:space="preserve">alto_mm</t>
  </si>
  <si>
    <t xml:space="preserve">ENUM('registrado','pendiente_despacho','cargado','en_transito','descargado','recibido_agencia','pendiente_redespacho','disponible_retiro','entregado','anulado','retenido','devuelto') NOT NULL DEFAULT 'registrado'</t>
  </si>
  <si>
    <t xml:space="preserve">Solo lo cambia el servidor</t>
  </si>
  <si>
    <t xml:space="preserve">estado_previo</t>
  </si>
  <si>
    <t xml:space="preserve">ENUM('registrado','pendiente_despacho','cargado','en_transito','descargado','recibido_agencia','pendiente_redespacho','disponible_retiro','entregado','anulado','retenido','devuelto') NULL</t>
  </si>
  <si>
    <t xml:space="preserve">Para liberar un 'retenido'</t>
  </si>
  <si>
    <t xml:space="preserve">version</t>
  </si>
  <si>
    <t xml:space="preserve">INT NOT NULL DEFAULT 0</t>
  </si>
  <si>
    <t xml:space="preserve">Bloqueo optimista</t>
  </si>
  <si>
    <t xml:space="preserve">viaje_actual_id</t>
  </si>
  <si>
    <t xml:space="preserve">Se fija al CERRAR el manifiesto; se limpia al descargar</t>
  </si>
  <si>
    <t xml:space="preserve">agencia_custodia_id</t>
  </si>
  <si>
    <t xml:space="preserve">UNIQUE KEY uq_bulto_qr (qr_token)</t>
  </si>
  <si>
    <t xml:space="preserve">UNIQUE KEY uq_bulto_legible (codigo_legible)</t>
  </si>
  <si>
    <t xml:space="preserve">UNIQUE KEY uq_bulto_num (encomienda_id, numero)</t>
  </si>
  <si>
    <t xml:space="preserve">KEY ix_bulto_estado (estado)</t>
  </si>
  <si>
    <t xml:space="preserve">FOREIGN KEY (encomienda_id) REFERENCES encomienda(id)</t>
  </si>
  <si>
    <t xml:space="preserve">FOREIGN KEY (viaje_actual_id) REFERENCES viaje(id)</t>
  </si>
  <si>
    <t xml:space="preserve">FOREIGN KEY (agencia_custodia_id) REFERENCES agencia(id)</t>
  </si>
  <si>
    <t xml:space="preserve">bulto_tramo — Tramos que debe recorrer un bulto (agencia desde → agencia hasta)</t>
  </si>
  <si>
    <t xml:space="preserve">bulto_tramo</t>
  </si>
  <si>
    <t xml:space="preserve">bulto_id</t>
  </si>
  <si>
    <t xml:space="preserve">desde_agencia_id</t>
  </si>
  <si>
    <t xml:space="preserve">hasta_agencia_id</t>
  </si>
  <si>
    <t xml:space="preserve">UNIQUE KEY uq_tramo (bulto_id, orden)</t>
  </si>
  <si>
    <t xml:space="preserve">FOREIGN KEY (bulto_id) REFERENCES bulto(id)</t>
  </si>
  <si>
    <t xml:space="preserve">FOREIGN KEY (desde_agencia_id) REFERENCES agencia(id)</t>
  </si>
  <si>
    <t xml:space="preserve">FOREIGN KEY (hasta_agencia_id) REFERENCES agencia(id)</t>
  </si>
  <si>
    <t xml:space="preserve">manifiesto — Lista de bultos de un viaje, versionada. cerrado_at NULL = borrador</t>
  </si>
  <si>
    <t xml:space="preserve">manifiesto</t>
  </si>
  <si>
    <t xml:space="preserve">viaje_id</t>
  </si>
  <si>
    <t xml:space="preserve">cerrado_at</t>
  </si>
  <si>
    <t xml:space="preserve">DATETIME(3) NULL</t>
  </si>
  <si>
    <t xml:space="preserve">cerrado_por</t>
  </si>
  <si>
    <t xml:space="preserve">motivo_cambio</t>
  </si>
  <si>
    <t xml:space="preserve">TEXT NULL</t>
  </si>
  <si>
    <t xml:space="preserve">Obligatorio desde la versión 2</t>
  </si>
  <si>
    <t xml:space="preserve">UNIQUE KEY uq_manifiesto_ver (viaje_id, version)</t>
  </si>
  <si>
    <t xml:space="preserve">FOREIGN KEY (viaje_id) REFERENCES viaje(id)</t>
  </si>
  <si>
    <t xml:space="preserve">FOREIGN KEY (cerrado_por) REFERENCES usuario(id)</t>
  </si>
  <si>
    <t xml:space="preserve">manifiesto_item — Un bulto en un manifiesto: en qué parada sube y en cuál baja. 'Continúa' NO se guarda, se deduce (sube &lt; p &lt; baja)</t>
  </si>
  <si>
    <t xml:space="preserve">manifiesto_item</t>
  </si>
  <si>
    <t xml:space="preserve">manifiesto_id</t>
  </si>
  <si>
    <t xml:space="preserve">bulto_tramo_id</t>
  </si>
  <si>
    <t xml:space="preserve">sube_orden</t>
  </si>
  <si>
    <t xml:space="preserve">baja_orden</t>
  </si>
  <si>
    <t xml:space="preserve">PRIMARY KEY (manifiesto_id, bulto_id, bulto_tramo_id)</t>
  </si>
  <si>
    <t xml:space="preserve">CHECK (sube_orden &lt; baja_orden)</t>
  </si>
  <si>
    <t xml:space="preserve">KEY ix_item_bulto (bulto_id)</t>
  </si>
  <si>
    <t xml:space="preserve">FOREIGN KEY (manifiesto_id) REFERENCES manifiesto(id)</t>
  </si>
  <si>
    <t xml:space="preserve">FOREIGN KEY (bulto_tramo_id) REFERENCES bulto_tramo(id)</t>
  </si>
  <si>
    <t xml:space="preserve">autorizacion_salida — Permiso para que el bus salga de una parada. Distinto de la salida real</t>
  </si>
  <si>
    <t xml:space="preserve">autorizacion_salida</t>
  </si>
  <si>
    <t xml:space="preserve">parada_orden</t>
  </si>
  <si>
    <t xml:space="preserve">manifiesto_version</t>
  </si>
  <si>
    <t xml:space="preserve">tipo</t>
  </si>
  <si>
    <t xml:space="preserve">ENUM('normal','excepcion_a') NOT NULL</t>
  </si>
  <si>
    <t xml:space="preserve">solicitado_por</t>
  </si>
  <si>
    <t xml:space="preserve">Quien pide la excepción; debe ser distinto de quien autoriza</t>
  </si>
  <si>
    <t xml:space="preserve">autorizado_por</t>
  </si>
  <si>
    <t xml:space="preserve">autorizado_at</t>
  </si>
  <si>
    <t xml:space="preserve">motivo</t>
  </si>
  <si>
    <t xml:space="preserve">Obligatorio en excepción</t>
  </si>
  <si>
    <t xml:space="preserve">conteo_continuan</t>
  </si>
  <si>
    <t xml:space="preserve">invalidada_at</t>
  </si>
  <si>
    <t xml:space="preserve">Se llena si cambia el manifiesto</t>
  </si>
  <si>
    <t xml:space="preserve">invalidada_motivo</t>
  </si>
  <si>
    <t xml:space="preserve">salida_real_at</t>
  </si>
  <si>
    <t xml:space="preserve">salida_real_por</t>
  </si>
  <si>
    <t xml:space="preserve">vigente_key</t>
  </si>
  <si>
    <t xml:space="preserve">La app escribe 'viaje_id:parada' al autorizar y la pone en NULL al invalidar. Reemplaza al índice parcial de PostgreSQL: solo UNA autorización vigente por viaje y parada</t>
  </si>
  <si>
    <t xml:space="preserve">UNIQUE KEY uq_autorizacion_vigente (vigente_key)</t>
  </si>
  <si>
    <t xml:space="preserve">CHECK (tipo = 'normal' OR (motivo IS NOT NULL AND solicitado_por IS NOT NULL AND solicitado_por &lt;&gt; autorizado_por))</t>
  </si>
  <si>
    <t xml:space="preserve">FOREIGN KEY (solicitado_por) REFERENCES usuario(id)</t>
  </si>
  <si>
    <t xml:space="preserve">FOREIGN KEY (autorizado_por) REFERENCES usuario(id)</t>
  </si>
  <si>
    <t xml:space="preserve">FOREIGN KEY (salida_real_por) REFERENCES usuario(id)</t>
  </si>
  <si>
    <t xml:space="preserve">evento — Registro INMUTABLE de todo lo que pasa. Triggers impiden UPDATE y DELETE</t>
  </si>
  <si>
    <t xml:space="preserve">evento</t>
  </si>
  <si>
    <t xml:space="preserve">UUID generado por el CLIENTE (idempotencia)</t>
  </si>
  <si>
    <t xml:space="preserve">escaneo_carga, escaneo_descarga, salida_real, entrega...</t>
  </si>
  <si>
    <t xml:space="preserve">resultado</t>
  </si>
  <si>
    <t xml:space="preserve">VARCHAR(40) NULL</t>
  </si>
  <si>
    <t xml:space="preserve">ok, repetido, no_esperado...</t>
  </si>
  <si>
    <t xml:space="preserve">actor_id</t>
  </si>
  <si>
    <t xml:space="preserve">device_id</t>
  </si>
  <si>
    <t xml:space="preserve">ocurrido_declarado</t>
  </si>
  <si>
    <t xml:space="preserve">Hora que dice el dispositivo (informativa)</t>
  </si>
  <si>
    <t xml:space="preserve">recibido_servidor</t>
  </si>
  <si>
    <t xml:space="preserve">Esta manda para ordenar</t>
  </si>
  <si>
    <t xml:space="preserve">payload</t>
  </si>
  <si>
    <t xml:space="preserve">JSON NULL</t>
  </si>
  <si>
    <t xml:space="preserve">La app siempre envía un objeto (MySQL no permite default literal en JSON)</t>
  </si>
  <si>
    <t xml:space="preserve">corrige_evento_id</t>
  </si>
  <si>
    <t xml:space="preserve">Una corrección es un evento nuevo que apunta al anterior</t>
  </si>
  <si>
    <t xml:space="preserve">KEY ix_evento_bulto (bulto_id, recibido_servidor)</t>
  </si>
  <si>
    <t xml:space="preserve">KEY ix_evento_viaje (viaje_id, recibido_servidor)</t>
  </si>
  <si>
    <t xml:space="preserve">FOREIGN KEY (actor_id) REFERENCES usuario(id)</t>
  </si>
  <si>
    <t xml:space="preserve">FOREIGN KEY (corrige_evento_id) REFERENCES evento(id)</t>
  </si>
  <si>
    <t xml:space="preserve">incidencia — Problemas detectados (sobrante, faltante, descarga incorrecta, pasado de parada...)</t>
  </si>
  <si>
    <t xml:space="preserve">incidencia</t>
  </si>
  <si>
    <t xml:space="preserve">ENUM('faltante','sobrante','descarga_incorrecta','dano','etiqueta_ilegible','redespacho_vencido','retiro_vencido','discrepancia_recepcion','pasado_de_parada') NOT NULL</t>
  </si>
  <si>
    <t xml:space="preserve">abierta_por_evento</t>
  </si>
  <si>
    <t xml:space="preserve">abierta_at</t>
  </si>
  <si>
    <t xml:space="preserve">resuelta_por_evento</t>
  </si>
  <si>
    <t xml:space="preserve">resuelta_at</t>
  </si>
  <si>
    <t xml:space="preserve">nota</t>
  </si>
  <si>
    <t xml:space="preserve">KEY ix_incidencia_abiertas (resuelta_at, tipo)</t>
  </si>
  <si>
    <t xml:space="preserve">FOREIGN KEY (abierta_por_evento) REFERENCES evento(id)</t>
  </si>
  <si>
    <t xml:space="preserve">FOREIGN KEY (resuelta_por_evento) REFERENCES evento(id)</t>
  </si>
  <si>
    <t xml:space="preserve">redespacho — Tarea de reenviar un bulto que bajó en una agencia intermedia. Sin estado propio: se deriva del bulto y del manifiesto</t>
  </si>
  <si>
    <t xml:space="preserve">redespacho</t>
  </si>
  <si>
    <t xml:space="preserve">agencia_resp_id</t>
  </si>
  <si>
    <t xml:space="preserve">recibido_at</t>
  </si>
  <si>
    <t xml:space="preserve">due_at</t>
  </si>
  <si>
    <t xml:space="preserve">Plazo; rojo en el panel si due_at &lt; ahora</t>
  </si>
  <si>
    <t xml:space="preserve">Se llena cuando el bulto sale en otro viaje</t>
  </si>
  <si>
    <t xml:space="preserve">KEY ix_redespacho_due (cerrado_at, due_at)</t>
  </si>
  <si>
    <t xml:space="preserve">FOREIGN KEY (agencia_resp_id) REFERENCES agencia(id)</t>
  </si>
  <si>
    <t xml:space="preserve">cotizacion — Precio calculado para una encomienda, con la versión de tarifa usada</t>
  </si>
  <si>
    <t xml:space="preserve">cotizacion</t>
  </si>
  <si>
    <t xml:space="preserve">via</t>
  </si>
  <si>
    <t xml:space="preserve">ENUM('manual') NOT NULL DEFAULT 'manual'</t>
  </si>
  <si>
    <t xml:space="preserve">'foto' queda fuera del MVP</t>
  </si>
  <si>
    <t xml:space="preserve">peso_total_g</t>
  </si>
  <si>
    <t xml:space="preserve">peso_fact_g</t>
  </si>
  <si>
    <t xml:space="preserve">valor_cent</t>
  </si>
  <si>
    <t xml:space="preserve">sin_regla</t>
  </si>
  <si>
    <t xml:space="preserve">1 = no había regla: no se inventa precio</t>
  </si>
  <si>
    <t xml:space="preserve">responsable_id</t>
  </si>
  <si>
    <t xml:space="preserve">detalle</t>
  </si>
  <si>
    <t xml:space="preserve">Regla aplicada por bulto (CORRECCIÓN: la v5 guardaba una sola regla_id aunque se cotiza por bulto)</t>
  </si>
  <si>
    <t xml:space="preserve">CHECK (sin_regla = 0 OR motivo IS NOT NULL)</t>
  </si>
  <si>
    <t xml:space="preserve">FOREIGN KEY (responsable_id) REFERENCES usuario(id)</t>
  </si>
  <si>
    <t xml:space="preserve">codigo_retiro — Código de 6 dígitos para retirar. Solo se guarda el HMAC</t>
  </si>
  <si>
    <t xml:space="preserve">codigo_retiro</t>
  </si>
  <si>
    <t xml:space="preserve">hmac</t>
  </si>
  <si>
    <t xml:space="preserve">intentos</t>
  </si>
  <si>
    <t xml:space="preserve">Se incrementa con una sentencia atómica FUERA de la transacción de entrega</t>
  </si>
  <si>
    <t xml:space="preserve">consumido_at</t>
  </si>
  <si>
    <t xml:space="preserve">invalidado_at</t>
  </si>
  <si>
    <t xml:space="preserve">La app escribe encomienda_id al emitir y NULL al consumir o invalidar. Solo un código vigente por encomienda</t>
  </si>
  <si>
    <t xml:space="preserve">UNIQUE KEY uq_codigo_vigente (vigente_key)</t>
  </si>
  <si>
    <t xml:space="preserve">entrega — Entrega al receptor (completa o parcial)</t>
  </si>
  <si>
    <t xml:space="preserve">entrega</t>
  </si>
  <si>
    <t xml:space="preserve">parcial</t>
  </si>
  <si>
    <t xml:space="preserve">entregado_por</t>
  </si>
  <si>
    <t xml:space="preserve">metodo</t>
  </si>
  <si>
    <t xml:space="preserve">ENUM('codigo','documento','tercero') NOT NULL</t>
  </si>
  <si>
    <t xml:space="preserve">receptor_nombre</t>
  </si>
  <si>
    <t xml:space="preserve">receptor_doc</t>
  </si>
  <si>
    <t xml:space="preserve">VARCHAR(30) NULL</t>
  </si>
  <si>
    <t xml:space="preserve">Supervisor, obligatorio si es parcial</t>
  </si>
  <si>
    <t xml:space="preserve">at</t>
  </si>
  <si>
    <t xml:space="preserve">CHECK (parcial = 0 OR (autorizado_por IS NOT NULL AND motivo IS NOT NULL))</t>
  </si>
  <si>
    <t xml:space="preserve">FOREIGN KEY (entregado_por) REFERENCES usuario(id)</t>
  </si>
  <si>
    <t xml:space="preserve">entrega_bulto — Qué bultos salieron en cada entrega</t>
  </si>
  <si>
    <t xml:space="preserve">entrega_bulto</t>
  </si>
  <si>
    <t xml:space="preserve">entrega_id</t>
  </si>
  <si>
    <t xml:space="preserve">PRIMARY KEY (entrega_id, bulto_id)</t>
  </si>
  <si>
    <t xml:space="preserve">FOREIGN KEY (entrega_id) REFERENCES entrega(id)</t>
  </si>
  <si>
    <t xml:space="preserve">notificacion — Cola de avisos por WhatsApp (outbox). Si el envío falla, la operación continúa</t>
  </si>
  <si>
    <t xml:space="preserve">notificacion</t>
  </si>
  <si>
    <t xml:space="preserve">dedupe_key</t>
  </si>
  <si>
    <t xml:space="preserve">enc:{id}:{tipo}:{tel} evita duplicados</t>
  </si>
  <si>
    <t xml:space="preserve">destinatario_tel</t>
  </si>
  <si>
    <t xml:space="preserve">plantilla</t>
  </si>
  <si>
    <t xml:space="preserve">registro_confirmado, en_camino, ...</t>
  </si>
  <si>
    <t xml:space="preserve">cuerpo</t>
  </si>
  <si>
    <t xml:space="preserve">TEXT NOT NULL</t>
  </si>
  <si>
    <t xml:space="preserve">Texto final. Si lleva código de retiro, se redacta (••••••) tras enviarse</t>
  </si>
  <si>
    <t xml:space="preserve">ENUM('pendiente','enviando','enviada','entregada','leida','fallida','descartada') NOT NULL DEFAULT 'pendiente'</t>
  </si>
  <si>
    <t xml:space="preserve">next_attempt_at</t>
  </si>
  <si>
    <t xml:space="preserve">proveedor_msg_id</t>
  </si>
  <si>
    <t xml:space="preserve">VARCHAR(120) NULL</t>
  </si>
  <si>
    <t xml:space="preserve">ID que devuelve Evolution</t>
  </si>
  <si>
    <t xml:space="preserve">ultimo_error</t>
  </si>
  <si>
    <t xml:space="preserve">enviada_at</t>
  </si>
  <si>
    <t xml:space="preserve">UNIQUE KEY uq_notif_dedupe (dedupe_key)</t>
  </si>
  <si>
    <t xml:space="preserve">KEY ix_notif_cola (estado, next_attempt_at)</t>
  </si>
  <si>
    <t xml:space="preserve">parametro — Configuración (nada va 'quemado' en el código)</t>
  </si>
  <si>
    <t xml:space="preserve">parametro</t>
  </si>
  <si>
    <t xml:space="preserve">clave</t>
  </si>
  <si>
    <t xml:space="preserve">valor</t>
  </si>
  <si>
    <t xml:space="preserve">JSON NOT NULL</t>
  </si>
  <si>
    <t xml:space="preserve">PRIMARY KEY (clave)</t>
  </si>
  <si>
    <t xml:space="preserve">audit_log — Bitácora de acciones administrativas y búsquedas fallidas</t>
  </si>
  <si>
    <t xml:space="preserve">audit_log</t>
  </si>
  <si>
    <t xml:space="preserve">BIGINT NOT NULL AUTO_INCREMENT</t>
  </si>
  <si>
    <t xml:space="preserve">accion</t>
  </si>
  <si>
    <t xml:space="preserve">VARCHAR(60) NOT NULL</t>
  </si>
  <si>
    <t xml:space="preserve">entidad</t>
  </si>
  <si>
    <t xml:space="preserve">entidad_id</t>
  </si>
  <si>
    <t xml:space="preserve">antes</t>
  </si>
  <si>
    <t xml:space="preserve">despues</t>
  </si>
  <si>
    <t xml:space="preserve">Triggers y vistas</t>
  </si>
  <si>
    <t xml:space="preserve">trg_evento_no_update / trg_evento_no_delete</t>
  </si>
  <si>
    <t xml:space="preserve">BEFORE UPDATE / BEFORE DELETE → SIGNAL SQLSTATE '45000'</t>
  </si>
  <si>
    <t xml:space="preserve">Invariante 3: los eventos son inmutables. Probado en MariaDB</t>
  </si>
  <si>
    <t xml:space="preserve">v_encomienda_estado</t>
  </si>
  <si>
    <t xml:space="preserve">vista</t>
  </si>
  <si>
    <t xml:space="preserve">entregada · disponible_retiro · parcialmente_disponible · en_transito · en_proceso</t>
  </si>
  <si>
    <t xml:space="preserve">Invariante 10: disponible solo si TODOS los bultos no anulados lo están. Probada</t>
  </si>
  <si>
    <t xml:space="preserve">Máquina de estados (única fuente de verdad: src/domain/estados.ts)</t>
  </si>
  <si>
    <t xml:space="preserve">Acción / estado</t>
  </si>
  <si>
    <t xml:space="preserve">Desde</t>
  </si>
  <si>
    <t xml:space="preserve">Hasta / resultado</t>
  </si>
  <si>
    <t xml:space="preserve">Quién</t>
  </si>
  <si>
    <t xml:space="preserve">Transiciones normales del bulto (el servidor las valida; el cliente nunca decide)</t>
  </si>
  <si>
    <t xml:space="preserve">cerrar manifiesto</t>
  </si>
  <si>
    <t xml:space="preserve">registrado · pendiente_redespacho</t>
  </si>
  <si>
    <t xml:space="preserve">pendiente_despacho</t>
  </si>
  <si>
    <t xml:space="preserve">Operador (despacho)</t>
  </si>
  <si>
    <t xml:space="preserve">Al CERRAR el manifiesto (no al asignarlo). Se fija viaje_actual_id</t>
  </si>
  <si>
    <t xml:space="preserve">cargar</t>
  </si>
  <si>
    <t xml:space="preserve">cargado</t>
  </si>
  <si>
    <t xml:space="preserve">Ayudante (escaneo de carga)</t>
  </si>
  <si>
    <t xml:space="preserve">Solo si el bulto SUBE en esa parada</t>
  </si>
  <si>
    <t xml:space="preserve">salida real</t>
  </si>
  <si>
    <t xml:space="preserve">en_transito</t>
  </si>
  <si>
    <t xml:space="preserve">Supervisor (registra salida)</t>
  </si>
  <si>
    <t xml:space="preserve">Solo los que suben en esa parada. Los que continúan ya están en_transito: NO cambian</t>
  </si>
  <si>
    <t xml:space="preserve">descargar</t>
  </si>
  <si>
    <t xml:space="preserve">descargado</t>
  </si>
  <si>
    <t xml:space="preserve">Ayudante (escaneo de descarga)</t>
  </si>
  <si>
    <t xml:space="preserve">Solo si BAJA en esa parada. Si continúa: alerta, sin cambio</t>
  </si>
  <si>
    <t xml:space="preserve">recibir</t>
  </si>
  <si>
    <t xml:space="preserve">recibido_agencia</t>
  </si>
  <si>
    <t xml:space="preserve">Operador de la agencia (escanea)</t>
  </si>
  <si>
    <t xml:space="preserve">No existe 'recibir todo el lote' sin escanear cada bulto</t>
  </si>
  <si>
    <t xml:space="preserve">automático tras recibir</t>
  </si>
  <si>
    <t xml:space="preserve">disponible_retiro (si es su destino final) · pendiente_redespacho (si no)</t>
  </si>
  <si>
    <t xml:space="preserve">Sistema</t>
  </si>
  <si>
    <t xml:space="preserve">Crea la tarea de redespacho con plazo</t>
  </si>
  <si>
    <t xml:space="preserve">entregar</t>
  </si>
  <si>
    <t xml:space="preserve">disponible_retiro</t>
  </si>
  <si>
    <t xml:space="preserve">entregado</t>
  </si>
  <si>
    <t xml:space="preserve">Operador</t>
  </si>
  <si>
    <t xml:space="preserve">Código o documento; parcial con supervisor y motivo</t>
  </si>
  <si>
    <t xml:space="preserve">Estados especiales (con permiso, motivo y evento vinculado)</t>
  </si>
  <si>
    <t xml:space="preserve">anular</t>
  </si>
  <si>
    <t xml:space="preserve">registrado · pendiente_despacho · pendiente_redespacho</t>
  </si>
  <si>
    <t xml:space="preserve">anulado</t>
  </si>
  <si>
    <t xml:space="preserve">Supervisor</t>
  </si>
  <si>
    <t xml:space="preserve">Bloquea toda operación</t>
  </si>
  <si>
    <t xml:space="preserve">retener</t>
  </si>
  <si>
    <t xml:space="preserve">casi cualquiera antes de entregado</t>
  </si>
  <si>
    <t xml:space="preserve">retenido (guarda estado_previo)</t>
  </si>
  <si>
    <t xml:space="preserve">Bloquea carga y descarga</t>
  </si>
  <si>
    <t xml:space="preserve">liberar</t>
  </si>
  <si>
    <t xml:space="preserve">retenido</t>
  </si>
  <si>
    <t xml:space="preserve">devuelto</t>
  </si>
  <si>
    <t xml:space="preserve">Fuera del MVP (solo existe el estado)</t>
  </si>
  <si>
    <t xml:space="preserve">Resultados de un escaneo</t>
  </si>
  <si>
    <t xml:space="preserve">ok</t>
  </si>
  <si>
    <t xml:space="preserve">Cambia de estado</t>
  </si>
  <si>
    <t xml:space="preserve">repetido</t>
  </si>
  <si>
    <t xml:space="preserve">No cambia ni suma</t>
  </si>
  <si>
    <t xml:space="preserve">Mismo bulto escaneado otra vez</t>
  </si>
  <si>
    <t xml:space="preserve">ya_a_bordo / debia_continuar</t>
  </si>
  <si>
    <t xml:space="preserve">No cambia</t>
  </si>
  <si>
    <t xml:space="preserve">Bulto que continúa: informativo en carga, alerta roja en descarga</t>
  </si>
  <si>
    <t xml:space="preserve">no_esperado (sobrante)</t>
  </si>
  <si>
    <t xml:space="preserve">No cambia · abre incidencia 'sobrante'</t>
  </si>
  <si>
    <t xml:space="preserve">No pertenece al viaje</t>
  </si>
  <si>
    <t xml:space="preserve">descarga_incorrecta</t>
  </si>
  <si>
    <t xml:space="preserve">No cambia · abre incidencia</t>
  </si>
  <si>
    <t xml:space="preserve">No viene en este viaje. Nunca se cambia el destino en silencio</t>
  </si>
  <si>
    <t xml:space="preserve">pasado de parada (G4)</t>
  </si>
  <si>
    <t xml:space="preserve">Baja igualmente · incidencia 'pasado_de_parada' + redespacho de retorno</t>
  </si>
  <si>
    <t xml:space="preserve">La realidad física manda</t>
  </si>
  <si>
    <t xml:space="preserve">bloqueado</t>
  </si>
  <si>
    <t xml:space="preserve">Anulado, retenido, devuelto o entregado</t>
  </si>
  <si>
    <t xml:space="preserve">conflicto_asignacion</t>
  </si>
  <si>
    <t xml:space="preserve">Cargado en otro viaje activo, o estado incompatible. Gana el primer escaneo</t>
  </si>
  <si>
    <t xml:space="preserve">desconocido</t>
  </si>
  <si>
    <t xml:space="preserve">Se registra sin bulto</t>
  </si>
  <si>
    <t xml:space="preserve">QR que no existe</t>
  </si>
  <si>
    <t xml:space="preserve">Estado de la ENCOMIENDA (se calcula con la vista, no se guarda)</t>
  </si>
  <si>
    <t xml:space="preserve">entregada</t>
  </si>
  <si>
    <t xml:space="preserve">todos los bultos entregados</t>
  </si>
  <si>
    <t xml:space="preserve">todos los bultos disponibles o ya entregados</t>
  </si>
  <si>
    <t xml:space="preserve">Aquí se emite el código y se avisa</t>
  </si>
  <si>
    <t xml:space="preserve">parcialmente_disponible</t>
  </si>
  <si>
    <t xml:space="preserve">algunos disponibles</t>
  </si>
  <si>
    <t xml:space="preserve">NO se avisa 'ya puedes retirar'</t>
  </si>
  <si>
    <t xml:space="preserve">algún bulto cargado o en tránsito</t>
  </si>
  <si>
    <t xml:space="preserve">en_proceso</t>
  </si>
  <si>
    <t xml:space="preserve">el resto</t>
  </si>
  <si>
    <t xml:space="preserve">Tarea de REDESPACHO (sin estado propio: se deriva)</t>
  </si>
  <si>
    <t xml:space="preserve">Pendiente de asignación</t>
  </si>
  <si>
    <t xml:space="preserve">bulto pendiente_redespacho y fuera de todo manifiesto borrador</t>
  </si>
  <si>
    <t xml:space="preserve">Asignado</t>
  </si>
  <si>
    <t xml:space="preserve">figura en un manifiesto borrador (sin cerrar)</t>
  </si>
  <si>
    <t xml:space="preserve">Pendiente de carga</t>
  </si>
  <si>
    <t xml:space="preserve">bulto en pendiente_despacho (manifiesto cerrado)</t>
  </si>
  <si>
    <t xml:space="preserve">Despachado</t>
  </si>
  <si>
    <t xml:space="preserve">bulto cargado o en_transito (o posterior) → se llena cerrado_at</t>
  </si>
  <si>
    <t xml:space="preserve">Vencido</t>
  </si>
  <si>
    <t xml:space="preserve">due_at &lt; ahora y cerrado_at vacío → rojo en el panel (E-07: sin job)</t>
  </si>
  <si>
    <t xml:space="preserve">Roles de la demo (4 usuarios, E-03) y qué puede hacer cada uno</t>
  </si>
  <si>
    <t xml:space="preserve">En BD se mantienen los 9 roles de la v5. Operador = operador + despachador. Supervisor = supervisor + guardia + responsable_agencia. Reglas extra en el código: nadie aprueba su propia excepción; todo permiso se evalúa contra la agencia; filtro por agencia siempre en el servidor.</t>
  </si>
  <si>
    <t xml:space="preserve">Permiso</t>
  </si>
  <si>
    <t xml:space="preserve">Ayudante</t>
  </si>
  <si>
    <t xml:space="preserve">Gerente</t>
  </si>
  <si>
    <t xml:space="preserve">Registrar encomienda y bultos</t>
  </si>
  <si>
    <t xml:space="preserve">✔</t>
  </si>
  <si>
    <t xml:space="preserve">Cotizar (tabla de tarifas)</t>
  </si>
  <si>
    <t xml:space="preserve">Imprimir etiquetas</t>
  </si>
  <si>
    <t xml:space="preserve">Armar / cerrar / modificar manifiesto (con motivo)</t>
  </si>
  <si>
    <t xml:space="preserve">Escanear carga y descarga</t>
  </si>
  <si>
    <t xml:space="preserve">✔ (recepción)</t>
  </si>
  <si>
    <t xml:space="preserve">Contar los bultos que continúan a bordo</t>
  </si>
  <si>
    <t xml:space="preserve">Autorizar salida (como guardia / responsable)</t>
  </si>
  <si>
    <t xml:space="preserve">Registrar salida real</t>
  </si>
  <si>
    <t xml:space="preserve">Autorizar excepción A (con motivo; solicitante ≠ autorizador)</t>
  </si>
  <si>
    <t xml:space="preserve">Recepción en agencia</t>
  </si>
  <si>
    <t xml:space="preserve">Asignar redespacho</t>
  </si>
  <si>
    <t xml:space="preserve">Entrega con código o documento</t>
  </si>
  <si>
    <t xml:space="preserve">Entrega parcial (supervisor + motivo)</t>
  </si>
  <si>
    <t xml:space="preserve">Resolver incidencias</t>
  </si>
  <si>
    <t xml:space="preserve">Ver panel de su rol</t>
  </si>
  <si>
    <t xml:space="preserve">Ver mensajes enviados</t>
  </si>
  <si>
    <t xml:space="preserve">Exportar CSV de eventos</t>
  </si>
  <si>
    <t xml:space="preserve">Escribir en eventos operativos</t>
  </si>
  <si>
    <t xml:space="preserve">✘ solo lectura</t>
  </si>
  <si>
    <t xml:space="preserve">Usuarios sembrados: operador@demo.local · ayudante@demo.local · supervisor@demo.local · gerente@demo.local (la contraseña la fijas tú al correr seed-usuarios).</t>
  </si>
  <si>
    <t xml:space="preserve">Reglas que no se rompen (si una prueba las viola, el build falla)</t>
  </si>
  <si>
    <t xml:space="preserve">Regla</t>
  </si>
  <si>
    <t xml:space="preserve">Cómo se garantiza</t>
  </si>
  <si>
    <t xml:space="preserve">Prueba que la verifica</t>
  </si>
  <si>
    <t xml:space="preserve">La tarifa la decide una tabla versionada, nunca un modelo. Cada cotización guarda la versión usada</t>
  </si>
  <si>
    <t xml:space="preserve">Servidor + BD (tarifa_version)</t>
  </si>
  <si>
    <t xml:space="preserve">Unitaria de tarifa</t>
  </si>
  <si>
    <t xml:space="preserve">Vigente</t>
  </si>
  <si>
    <t xml:space="preserve">Contar N escaneos no autoriza la salida: se concilian bultos únicos y correctos contra el manifiesto</t>
  </si>
  <si>
    <t xml:space="preserve">Dominio (salida.ts)</t>
  </si>
  <si>
    <t xml:space="preserve">Unitaria de salida</t>
  </si>
  <si>
    <t xml:space="preserve">Eventos inmutables; una corrección es un evento nuevo</t>
  </si>
  <si>
    <t xml:space="preserve">Triggers en BD</t>
  </si>
  <si>
    <t xml:space="preserve">Integración: UPDATE/DELETE fallan</t>
  </si>
  <si>
    <t xml:space="preserve">Vigente (correcciones: fuera de MVP)</t>
  </si>
  <si>
    <t xml:space="preserve">Toda transición se valida en el servidor, con bloqueo de fila y versión</t>
  </si>
  <si>
    <t xml:space="preserve">Servicios + FOR UPDATE</t>
  </si>
  <si>
    <t xml:space="preserve">Integración: concurrencia</t>
  </si>
  <si>
    <t xml:space="preserve">Escaneos idempotentes por event_id (UUID del cliente)</t>
  </si>
  <si>
    <t xml:space="preserve">PK de evento + captura de error 1062 (clave duplicada)</t>
  </si>
  <si>
    <t xml:space="preserve">Integración: mismo id 3 veces</t>
  </si>
  <si>
    <t xml:space="preserve">El QR no autoriza nada; /q/:token responde igual válido o inválido</t>
  </si>
  <si>
    <t xml:space="preserve">Página pública</t>
  </si>
  <si>
    <t xml:space="preserve">Aceptación 18</t>
  </si>
  <si>
    <t xml:space="preserve">CAMBIA (E-01): sin conexión no se opera</t>
  </si>
  <si>
    <t xml:space="preserve">App bloquea escaneos y autorizaciones</t>
  </si>
  <si>
    <t xml:space="preserve">Manual</t>
  </si>
  <si>
    <t xml:space="preserve">Cambiada: ya no hay salida tipo B</t>
  </si>
  <si>
    <t xml:space="preserve">Autorización y salida real son eventos distintos; cambiar el manifiesto invalida la autorización</t>
  </si>
  <si>
    <t xml:space="preserve">autorizacion_salida.vigente_key</t>
  </si>
  <si>
    <t xml:space="preserve">Integración: invalidación</t>
  </si>
  <si>
    <t xml:space="preserve">Los bultos que continúan a bordo no cambian de estado en paradas intermedias</t>
  </si>
  <si>
    <t xml:space="preserve">Dominio (escaneo.ts)</t>
  </si>
  <si>
    <t xml:space="preserve">Unitaria + E2E</t>
  </si>
  <si>
    <t xml:space="preserve">Una encomienda figura disponible solo si TODOS sus bultos lo están</t>
  </si>
  <si>
    <t xml:space="preserve">Vista v_encomienda_estado</t>
  </si>
  <si>
    <t xml:space="preserve">Probada en MariaDB + E2E</t>
  </si>
  <si>
    <t xml:space="preserve">Si WhatsApp falla, la operación continúa</t>
  </si>
  <si>
    <t xml:space="preserve">Cola `notificacion` desacoplada</t>
  </si>
  <si>
    <t xml:space="preserve">Adaptador que falla a propósito</t>
  </si>
  <si>
    <t xml:space="preserve">Sin datos personales en el QR ni en el código legible; el código legible no es secuencial</t>
  </si>
  <si>
    <t xml:space="preserve">Generación aleatoria</t>
  </si>
  <si>
    <t xml:space="preserve">Unitaria de códigos</t>
  </si>
  <si>
    <t xml:space="preserve">NUEVA: lo guardado en BD va en UTC; la pantalla muestra hora de Ecuador</t>
  </si>
  <si>
    <t xml:space="preserve">Capa de fechas</t>
  </si>
  <si>
    <t xml:space="preserve">Unitaria</t>
  </si>
  <si>
    <t xml:space="preserve">Nueva (E-18)</t>
  </si>
  <si>
    <t xml:space="preserve">NUEVA: con Evolution los mensajes solo se envían a los números de MENSAJES_NUMEROS_PERMITIDOS</t>
  </si>
  <si>
    <t xml:space="preserve">Cola de mensajes</t>
  </si>
  <si>
    <t xml:space="preserve">Integración</t>
  </si>
  <si>
    <t xml:space="preserve">Propuesta (evita enviar mensajes reales por accidente)</t>
  </si>
  <si>
    <t xml:space="preserve">Pantallas del MVP (9 de la v5.1 + las 3 de apoyo: mensajes, línea de tiempo, QR público)</t>
  </si>
  <si>
    <t xml:space="preserve">Pantalla</t>
  </si>
  <si>
    <t xml:space="preserve">Qué hace</t>
  </si>
  <si>
    <t xml:space="preserve">Login</t>
  </si>
  <si>
    <t xml:space="preserve">/login</t>
  </si>
  <si>
    <t xml:space="preserve">Todos</t>
  </si>
  <si>
    <t xml:space="preserve">Correo y contraseña. Cookie de sesión</t>
  </si>
  <si>
    <t xml:space="preserve">POST /api/auth/login</t>
  </si>
  <si>
    <t xml:space="preserve">E2</t>
  </si>
  <si>
    <t xml:space="preserve">Nueva encomienda</t>
  </si>
  <si>
    <t xml:space="preserve">/encomiendas/nueva</t>
  </si>
  <si>
    <t xml:space="preserve">Datos de remitente/destinatario, bultos (peso y medidas), cotización con banner TARIFAS DE DEMOSTRACIÓN, etiquetas QR + código XXXX-XXXX + destino grande</t>
  </si>
  <si>
    <t xml:space="preserve">POST /api/encomiendas · POST /api/cotizaciones/calcular</t>
  </si>
  <si>
    <t xml:space="preserve">Viaje y manifiesto</t>
  </si>
  <si>
    <t xml:space="preserve">/viajes · /viajes/[id]</t>
  </si>
  <si>
    <t xml:space="preserve">Crear viaje, agregar bultos con su parada de subida y bajada, cerrar. Vista por parada: bajan / suben / continúan. Modificar con motivo</t>
  </si>
  <si>
    <t xml:space="preserve">POST /api/viajes · …/manifiesto/items · …/cerrar · …/modificar</t>
  </si>
  <si>
    <t xml:space="preserve">Escaneo</t>
  </si>
  <si>
    <t xml:space="preserve">/viajes/[id]/paradas/[p]/escaneo</t>
  </si>
  <si>
    <t xml:space="preserve">Cámara continua + campo de código. Resultado en verde/rojo/amarillo grande + texto. Conteo de 'continúan'</t>
  </si>
  <si>
    <t xml:space="preserve">POST /api/escaneos</t>
  </si>
  <si>
    <t xml:space="preserve">Salida</t>
  </si>
  <si>
    <t xml:space="preserve">/viajes/[id]/paradas/[p]/salida</t>
  </si>
  <si>
    <t xml:space="preserve">Autorizar (muestra los bultos que bloquean), Excepción A (motivo + solicitante), Registrar salida real</t>
  </si>
  <si>
    <t xml:space="preserve">POST …/autorizar · …/salida-real</t>
  </si>
  <si>
    <t xml:space="preserve">E3</t>
  </si>
  <si>
    <t xml:space="preserve">/recepcion</t>
  </si>
  <si>
    <t xml:space="preserve">Escanear bulto por bulto lo que llegó. Muestra a dónde sigue</t>
  </si>
  <si>
    <t xml:space="preserve">POST /api/recepciones</t>
  </si>
  <si>
    <t xml:space="preserve">Redespachos</t>
  </si>
  <si>
    <t xml:space="preserve">/redespachos</t>
  </si>
  <si>
    <t xml:space="preserve">Operador / Supervisor</t>
  </si>
  <si>
    <t xml:space="preserve">Lista con plazo; en rojo si venció. Asignar a un viaje</t>
  </si>
  <si>
    <t xml:space="preserve">GET /api/redespachos · POST …/asignar</t>
  </si>
  <si>
    <t xml:space="preserve">Entrega</t>
  </si>
  <si>
    <t xml:space="preserve">/entrega</t>
  </si>
  <si>
    <t xml:space="preserve">Buscar encomienda, código de 6 dígitos o documento. Parcial con supervisor y motivo. Muestra intentos restantes</t>
  </si>
  <si>
    <t xml:space="preserve">GET /api/entregas/buscar · POST /api/entregas</t>
  </si>
  <si>
    <t xml:space="preserve">E4</t>
  </si>
  <si>
    <t xml:space="preserve">Panel</t>
  </si>
  <si>
    <t xml:space="preserve">/panel</t>
  </si>
  <si>
    <t xml:space="preserve">Todos (según rol)</t>
  </si>
  <si>
    <t xml:space="preserve">4–5 tarjetas por rol: por recibir, por cargar, redespachos, disponibles, incidencias. Gerente: solo lectura</t>
  </si>
  <si>
    <t xml:space="preserve">GET /api/panel</t>
  </si>
  <si>
    <t xml:space="preserve">Mensajes enviados</t>
  </si>
  <si>
    <t xml:space="preserve">/mensajes</t>
  </si>
  <si>
    <t xml:space="preserve">Supervisor / Gerente</t>
  </si>
  <si>
    <t xml:space="preserve">Lista de mensajes de la cola con estado y destinatario (en modo simulado se ve el texto completo)</t>
  </si>
  <si>
    <t xml:space="preserve">GET /api/mensajes</t>
  </si>
  <si>
    <t xml:space="preserve">Línea de tiempo del bulto</t>
  </si>
  <si>
    <t xml:space="preserve">/bultos/[id]</t>
  </si>
  <si>
    <t xml:space="preserve">Todos los eventos del bulto en orden: quién, cuándo, qué. Es lo más vistoso de la demo</t>
  </si>
  <si>
    <t xml:space="preserve">GET /api/bultos/[id]/timeline</t>
  </si>
  <si>
    <t xml:space="preserve">QR público</t>
  </si>
  <si>
    <t xml:space="preserve">/q/[token]</t>
  </si>
  <si>
    <t xml:space="preserve">Cualquiera (sin sesión)</t>
  </si>
  <si>
    <t xml:space="preserve">Respuesta idéntica, sin datos, para token válido o inválido</t>
  </si>
  <si>
    <t xml:space="preserve">Endpoints (Next.js route handlers; todos validan con Zod)</t>
  </si>
  <si>
    <t xml:space="preserve">Método</t>
  </si>
  <si>
    <t xml:space="preserve">Rol</t>
  </si>
  <si>
    <t xml:space="preserve">POST</t>
  </si>
  <si>
    <t xml:space="preserve">/api/auth/login · /api/auth/logout · GET /api/auth/me</t>
  </si>
  <si>
    <t xml:space="preserve">Cookie HttpOnly; Secure; SameSite=Lax</t>
  </si>
  <si>
    <t xml:space="preserve">/api/encomiendas</t>
  </si>
  <si>
    <t xml:space="preserve">operador</t>
  </si>
  <si>
    <t xml:space="preserve">Crea encomienda + bultos + cotización + etiquetas en UNA transacción; encola aviso 'registro'</t>
  </si>
  <si>
    <t xml:space="preserve">GET</t>
  </si>
  <si>
    <t xml:space="preserve">/api/encomiendas · /api/encomiendas/[id]</t>
  </si>
  <si>
    <t xml:space="preserve">según agencia</t>
  </si>
  <si>
    <t xml:space="preserve">Filtro por agencia SIEMPRE en el servidor</t>
  </si>
  <si>
    <t xml:space="preserve">/api/cotizaciones/calcular</t>
  </si>
  <si>
    <t xml:space="preserve">Función pura; devuelve detalle o sinRegla</t>
  </si>
  <si>
    <t xml:space="preserve">/api/viajes</t>
  </si>
  <si>
    <t xml:space="preserve">Crea viaje</t>
  </si>
  <si>
    <t xml:space="preserve">/api/viajes/[id]/manifiesto/items</t>
  </si>
  <si>
    <t xml:space="preserve">Valida estado, tramo y paradas con agencia</t>
  </si>
  <si>
    <t xml:space="preserve">/api/viajes/[id]/manifiesto/cerrar</t>
  </si>
  <si>
    <t xml:space="preserve">Bultos → pendiente_despacho, fija viaje_actual_id</t>
  </si>
  <si>
    <t xml:space="preserve">/api/viajes/[id]/manifiesto/modificar</t>
  </si>
  <si>
    <t xml:space="preserve">Motivo obligatorio; nueva versión; invalida autorización</t>
  </si>
  <si>
    <t xml:space="preserve">/api/viajes/[id]/paradas/[p]</t>
  </si>
  <si>
    <t xml:space="preserve">ayudante, operador, supervisor</t>
  </si>
  <si>
    <t xml:space="preserve">Listas bajan/suben/continúan + estado de conciliación</t>
  </si>
  <si>
    <t xml:space="preserve">/api/escaneos</t>
  </si>
  <si>
    <t xml:space="preserve">ayudante, operador</t>
  </si>
  <si>
    <t xml:space="preserve">Idempotente por eventId</t>
  </si>
  <si>
    <t xml:space="preserve">/api/viajes/[id]/paradas/[p]/autorizar</t>
  </si>
  <si>
    <t xml:space="preserve">supervisor</t>
  </si>
  <si>
    <t xml:space="preserve">Normal o excepción A</t>
  </si>
  <si>
    <t xml:space="preserve">/api/viajes/[id]/paradas/[p]/salida-real</t>
  </si>
  <si>
    <t xml:space="preserve">Exige autorización vigente de la versión actual; encola aviso 'en camino'</t>
  </si>
  <si>
    <t xml:space="preserve">/api/recepciones</t>
  </si>
  <si>
    <t xml:space="preserve">Escaneo bulto por bulto; crea redespacho o deja disponible; emite código y aviso</t>
  </si>
  <si>
    <t xml:space="preserve">/api/redespachos</t>
  </si>
  <si>
    <t xml:space="preserve">operador, supervisor</t>
  </si>
  <si>
    <t xml:space="preserve">/api/redespachos/[id]/asignar</t>
  </si>
  <si>
    <t xml:space="preserve">/api/entregas/buscar?q=</t>
  </si>
  <si>
    <t xml:space="preserve">Busca por codigo de encomienda o de un bulto</t>
  </si>
  <si>
    <t xml:space="preserve">/api/entregas</t>
  </si>
  <si>
    <t xml:space="preserve">Verifica el codigo (intento atomico) y entrega; parcial exige supervisor (usuario+contrasena) y motivo</t>
  </si>
  <si>
    <t xml:space="preserve">/api/incidencias · /api/incidencias/[id]/resolver</t>
  </si>
  <si>
    <t xml:space="preserve">operador / supervisor</t>
  </si>
  <si>
    <t xml:space="preserve">Resolver = evento vinculado</t>
  </si>
  <si>
    <t xml:space="preserve">/api/panel</t>
  </si>
  <si>
    <t xml:space="preserve">según rol</t>
  </si>
  <si>
    <t xml:space="preserve">Consultas, no tablas nuevas</t>
  </si>
  <si>
    <t xml:space="preserve">/api/bultos/[id]/timeline</t>
  </si>
  <si>
    <t xml:space="preserve">todos</t>
  </si>
  <si>
    <t xml:space="preserve">Eventos del bulto</t>
  </si>
  <si>
    <t xml:space="preserve">/api/mensajes</t>
  </si>
  <si>
    <t xml:space="preserve">supervisor, gerente</t>
  </si>
  <si>
    <t xml:space="preserve">/api/export/eventos.csv</t>
  </si>
  <si>
    <t xml:space="preserve">Un solo CSV (E-09)</t>
  </si>
  <si>
    <t xml:space="preserve">/api/cron/mensajes</t>
  </si>
  <si>
    <t xml:space="preserve">cron (clave CRON_SECRET)</t>
  </si>
  <si>
    <t xml:space="preserve">Procesa la cola de WhatsApp; llamado cada minuto desde cPanel</t>
  </si>
  <si>
    <t xml:space="preserve">público</t>
  </si>
  <si>
    <t xml:space="preserve">Respuesta idéntica en forma, tiempo y código HTTP</t>
  </si>
  <si>
    <t xml:space="preserve">FUERA del MVP: /sync · /eventos/[id]/corregir · /ajustes · /webhooks/whatsapp</t>
  </si>
  <si>
    <t xml:space="preserve">E-01, E-10</t>
  </si>
  <si>
    <t xml:space="preserve">Avisos por WhatsApp (Evolution API)</t>
  </si>
  <si>
    <t xml:space="preserve">Los textos son ejemplos para la demo: Cheche decide el tono final. 'Última información registrada' en lugar de ubicación en vivo (la v5 prohíbe mostrar posición en tiempo real).</t>
  </si>
  <si>
    <t xml:space="preserve">Plantilla</t>
  </si>
  <si>
    <t xml:space="preserve">A quién</t>
  </si>
  <si>
    <t xml:space="preserve">Texto de ejemplo</t>
  </si>
  <si>
    <t xml:space="preserve">Variables</t>
  </si>
  <si>
    <t xml:space="preserve">¿MVP?</t>
  </si>
  <si>
    <t xml:space="preserve">registro_confirmado</t>
  </si>
  <si>
    <t xml:space="preserve">Al registrar la encomienda</t>
  </si>
  <si>
    <t xml:space="preserve">Destinatario</t>
  </si>
  <si>
    <t xml:space="preserve">Hola {nombre}, la cooperativa Unión Transportes Cariamanga registró una encomienda para ti de parte de {remitente}: {n} bulto(s) con destino {agencia_destino}. Te avisaremos cada avance.</t>
  </si>
  <si>
    <t xml:space="preserve">nombre, remitente, n, agencia_destino</t>
  </si>
  <si>
    <t xml:space="preserve">Sí</t>
  </si>
  <si>
    <t xml:space="preserve">en_camino</t>
  </si>
  <si>
    <t xml:space="preserve">Al registrar la salida real desde el origen</t>
  </si>
  <si>
    <t xml:space="preserve">Tu encomienda ({n} bultos) salió de {agencia_origen} rumbo a {agencia_destino}. Última información registrada: {fecha_hora}.</t>
  </si>
  <si>
    <t xml:space="preserve">n, agencia_origen, agencia_destino, fecha_hora</t>
  </si>
  <si>
    <t xml:space="preserve">Sí (E-14)</t>
  </si>
  <si>
    <t xml:space="preserve">llegada_intermedia</t>
  </si>
  <si>
    <t xml:space="preserve">Al recibir bultos en una agencia que NO es el destino final</t>
  </si>
  <si>
    <t xml:space="preserve">Tu encomienda llegó a {agencia} ({recibidos} de {total} bultos) y continúa su camino hacia {agencia_destino}. Última información registrada: {fecha_hora}.</t>
  </si>
  <si>
    <t xml:space="preserve">agencia, recibidos, total, agencia_destino, fecha_hora</t>
  </si>
  <si>
    <t xml:space="preserve">Cuando TODOS los bultos están en la agencia destino</t>
  </si>
  <si>
    <t xml:space="preserve">Tu encomienda está lista para retirar en {agencia}. Tu código de retiro es {codigo} y vale hasta el {fecha}. Preséntalo con un documento de identidad.</t>
  </si>
  <si>
    <t xml:space="preserve">agencia, codigo, fecha</t>
  </si>
  <si>
    <t xml:space="preserve">recordatorio_retiro</t>
  </si>
  <si>
    <t xml:space="preserve">Si no retira en N días</t>
  </si>
  <si>
    <t xml:space="preserve">Recordatorio: tu encomienda sigue esperando en {agencia}.</t>
  </si>
  <si>
    <t xml:space="preserve">No (E-07)</t>
  </si>
  <si>
    <t xml:space="preserve">Reglas de la cola</t>
  </si>
  <si>
    <t xml:space="preserve">Deduplicación</t>
  </si>
  <si>
    <t xml:space="preserve">dedupe_key único: enc:{id}:{plantilla}:{tel}. Reintentar no duplica</t>
  </si>
  <si>
    <t xml:space="preserve">Reintentos</t>
  </si>
  <si>
    <t xml:space="preserve">Hasta 8 intentos con espera creciente (1, 5, 15 min…). Si agota → estado 'fallida' y se ve en el panel; la operación NO se detiene</t>
  </si>
  <si>
    <t xml:space="preserve">Tope</t>
  </si>
  <si>
    <t xml:space="preserve">parámetro mensajes.max_por_encomienda (5 en la demo; era 3 en la v5)</t>
  </si>
  <si>
    <t xml:space="preserve">Código de retiro en el texto</t>
  </si>
  <si>
    <t xml:space="preserve">Se guarda en `cuerpo` hasta enviarse y luego se redacta con ••••••. En BD queda solo el HMAC</t>
  </si>
  <si>
    <t xml:space="preserve">Modo prueba</t>
  </si>
  <si>
    <t xml:space="preserve">Con proveedor evolution solo se envia a los numeros de MENSAJES_NUMEROS_PERMITIDOS (.env). Los demas quedan 'descartada'</t>
  </si>
  <si>
    <t xml:space="preserve">Llamada a Evolution</t>
  </si>
  <si>
    <t xml:space="preserve">Petición</t>
  </si>
  <si>
    <t xml:space="preserve">POST {EVOLUTION_URL}/message/sendText/{EVOLUTION_INSTANCE} con cabecera `apikey`. Cuerpo: número internacional sin + y texto</t>
  </si>
  <si>
    <t xml:space="preserve">VERIFICAR</t>
  </si>
  <si>
    <t xml:space="preserve">Nota de versión</t>
  </si>
  <si>
    <t xml:space="preserve">El nombre de los campos del cuerpo cambia entre Evolution v1 y v2. Lo ajusto contra la documentación de TU versión cuando me la digas; no lo doy por seguro</t>
  </si>
  <si>
    <t xml:space="preserve">Si falla</t>
  </si>
  <si>
    <t xml:space="preserve">Se guarda ultimo_error y se reintenta. Nunca se bloquea el escaneo, la recepción ni la entrega</t>
  </si>
  <si>
    <t xml:space="preserve">Parámetros (tabla `parametro`) y variables de entorno</t>
  </si>
  <si>
    <t xml:space="preserve">Los valores 'defecto' son míos para poder construir; NO son datos de la cooperativa.</t>
  </si>
  <si>
    <t xml:space="preserve">Clave</t>
  </si>
  <si>
    <t xml:space="preserve">Valor en la demo</t>
  </si>
  <si>
    <t xml:space="preserve">Qué es</t>
  </si>
  <si>
    <t xml:space="preserve">redespacho.plazo_horas</t>
  </si>
  <si>
    <t xml:space="preserve">1</t>
  </si>
  <si>
    <t xml:space="preserve">Plazo para redespachar (corto para mostrar el vencimiento en la demo)</t>
  </si>
  <si>
    <t xml:space="preserve">Demo (producción: 12, por confirmar)</t>
  </si>
  <si>
    <t xml:space="preserve">codigo_retiro.caducidad_dias</t>
  </si>
  <si>
    <t xml:space="preserve">7</t>
  </si>
  <si>
    <t xml:space="preserve">Vigencia del código de retiro</t>
  </si>
  <si>
    <t xml:space="preserve">Por confirmar</t>
  </si>
  <si>
    <t xml:space="preserve">codigo_retiro.max_intentos</t>
  </si>
  <si>
    <t xml:space="preserve">5</t>
  </si>
  <si>
    <t xml:space="preserve">Intentos antes de bloquear</t>
  </si>
  <si>
    <t xml:space="preserve">Defecto</t>
  </si>
  <si>
    <t xml:space="preserve">busqueda_manual.max_por_minuto</t>
  </si>
  <si>
    <t xml:space="preserve">10</t>
  </si>
  <si>
    <t xml:space="preserve">Límite de búsquedas por código legible por usuario</t>
  </si>
  <si>
    <t xml:space="preserve">descuento.umbral_supervisor_pct</t>
  </si>
  <si>
    <t xml:space="preserve">Descuento sobre el cual hace falta supervisor (los ajustes están fuera del MVP)</t>
  </si>
  <si>
    <t xml:space="preserve">exigir_reescaneo_continuan</t>
  </si>
  <si>
    <t xml:space="preserve">false</t>
  </si>
  <si>
    <t xml:space="preserve">Si es true, los que continúan se re-escanean en vez de contarse</t>
  </si>
  <si>
    <t xml:space="preserve">exigir_escaneo_recepcion</t>
  </si>
  <si>
    <t xml:space="preserve">true</t>
  </si>
  <si>
    <t xml:space="preserve">La recepción exige escanear cada bulto</t>
  </si>
  <si>
    <t xml:space="preserve">Decide el piloto</t>
  </si>
  <si>
    <t xml:space="preserve">mensajes.max_por_encomienda</t>
  </si>
  <si>
    <t xml:space="preserve">Tope de avisos por encomienda (v5: 3)</t>
  </si>
  <si>
    <t xml:space="preserve">Propuesta E-14</t>
  </si>
  <si>
    <t xml:space="preserve">MENSAJES_PROVEEDOR (.env)</t>
  </si>
  <si>
    <t xml:space="preserve">simulado</t>
  </si>
  <si>
    <t xml:space="preserve">'simulado' o 'evolution'</t>
  </si>
  <si>
    <t xml:space="preserve">Implementado</t>
  </si>
  <si>
    <t xml:space="preserve">MENSAJES_NUMEROS_PERMITIDOS (.env)</t>
  </si>
  <si>
    <t xml:space="preserve">(vacio)</t>
  </si>
  <si>
    <t xml:space="preserve">Con evolution solo se envia a estos numeros (5939XXXXXXXX, separados por coma); el resto queda descartada</t>
  </si>
  <si>
    <t xml:space="preserve">Variables de entorno (.env) — NO van en la BD ni en el repositorio</t>
  </si>
  <si>
    <t xml:space="preserve">DATABASE_HOST / PORT / NAME / USER / PASSWORD</t>
  </si>
  <si>
    <t xml:space="preserve">Conexión a MySQL/MariaDB</t>
  </si>
  <si>
    <t xml:space="preserve">SESSION_SECRET</t>
  </si>
  <si>
    <t xml:space="preserve">(aleatorio largo)</t>
  </si>
  <si>
    <t xml:space="preserve">Firma de cookies</t>
  </si>
  <si>
    <t xml:space="preserve">Se genera</t>
  </si>
  <si>
    <t xml:space="preserve">RETIRO_HMAC_SECRET</t>
  </si>
  <si>
    <t xml:space="preserve">Secreto del HMAC del código de retiro</t>
  </si>
  <si>
    <t xml:space="preserve">EVOLUTION_URL · EVOLUTION_INSTANCE · EVOLUTION_API_KEY</t>
  </si>
  <si>
    <t xml:space="preserve">Conexión a Evolution</t>
  </si>
  <si>
    <t xml:space="preserve">CRON_SECRET</t>
  </si>
  <si>
    <t xml:space="preserve">Clave que debe traer el cron de cPanel</t>
  </si>
  <si>
    <t xml:space="preserve">TZ_DISPLAY</t>
  </si>
  <si>
    <t xml:space="preserve">America/Guayaquil</t>
  </si>
  <si>
    <t xml:space="preserve">Zona horaria para mostrar fechas</t>
  </si>
  <si>
    <t xml:space="preserve">Fijo</t>
  </si>
  <si>
    <t xml:space="preserve">Plan de trabajo (checklist vivo)</t>
  </si>
  <si>
    <t xml:space="preserve">Cambia el Estado con la lista desplegable. El avance de la hoja LEEME se calcula solo. 'Hecho' = codigo escrito Y probado (unitarias, integracion en MariaDB y/o HTTP). 'En curso' = codigo listo pero falta verlo en un navegador / con Evolution real. Pendiente = depende de ti (cPanel, cron, despliegue).</t>
  </si>
  <si>
    <t xml:space="preserve">ID</t>
  </si>
  <si>
    <t xml:space="preserve">Tarea</t>
  </si>
  <si>
    <t xml:space="preserve">Listo cuando…</t>
  </si>
  <si>
    <t xml:space="preserve">Depende de</t>
  </si>
  <si>
    <t xml:space="preserve">0.1</t>
  </si>
  <si>
    <t xml:space="preserve">E0</t>
  </si>
  <si>
    <t xml:space="preserve">Spec v5 + enmiendas v5.1 integradas en el proyecto</t>
  </si>
  <si>
    <t xml:space="preserve">Documentos en /docs</t>
  </si>
  <si>
    <t xml:space="preserve">Hecho</t>
  </si>
  <si>
    <t xml:space="preserve">Abel + Claude</t>
  </si>
  <si>
    <t xml:space="preserve">0.2</t>
  </si>
  <si>
    <t xml:space="preserve">Crear proyecto Next.js + TypeScript estricto + Vitest + Git</t>
  </si>
  <si>
    <t xml:space="preserve">`npm run dev` y `npm test` corren</t>
  </si>
  <si>
    <t xml:space="preserve">Claude</t>
  </si>
  <si>
    <t xml:space="preserve">0.3</t>
  </si>
  <si>
    <t xml:space="preserve">domain/estados.ts</t>
  </si>
  <si>
    <t xml:space="preserve">Transiciones del §5.1 de la v5</t>
  </si>
  <si>
    <t xml:space="preserve">0.4</t>
  </si>
  <si>
    <t xml:space="preserve">domain/escaneo.ts</t>
  </si>
  <si>
    <t xml:space="preserve">Decide carga/descarga sin tocar BD</t>
  </si>
  <si>
    <t xml:space="preserve">0.5</t>
  </si>
  <si>
    <t xml:space="preserve">domain/salida.ts (sin rama offline)</t>
  </si>
  <si>
    <t xml:space="preserve">Concilia por identidad; quitar tipo B</t>
  </si>
  <si>
    <t xml:space="preserve">0.6</t>
  </si>
  <si>
    <t xml:space="preserve">domain/tarifa.ts y domain/codigos.ts</t>
  </si>
  <si>
    <t xml:space="preserve">Tarifa por rangos; QR/códigos aleatorios</t>
  </si>
  <si>
    <t xml:space="preserve">0.7</t>
  </si>
  <si>
    <t xml:space="preserve">Pruebas unitarias v5 §10.1 en verde (adaptadas a E-01)</t>
  </si>
  <si>
    <t xml:space="preserve">TODAS pasan. Es la primera comprobación real del código de referencia</t>
  </si>
  <si>
    <t xml:space="preserve">0.3–0.6</t>
  </si>
  <si>
    <t xml:space="preserve">Claude + Abel</t>
  </si>
  <si>
    <t xml:space="preserve">1.1</t>
  </si>
  <si>
    <t xml:space="preserve">E1</t>
  </si>
  <si>
    <t xml:space="preserve">Esquema MySQL/MariaDB (001_init_mvp.sql) escrito y probado en MariaDB 10.11</t>
  </si>
  <si>
    <t xml:space="preserve">Triggers, unicidad vigente, vista, intentos atómicos probados</t>
  </si>
  <si>
    <t xml:space="preserve">1.2</t>
  </si>
  <si>
    <t xml:space="preserve">seed.sql con datos de demostración</t>
  </si>
  <si>
    <t xml:space="preserve">3 agencias, ruta, 4 usuarios, tarifas demo</t>
  </si>
  <si>
    <t xml:space="preserve">1.3</t>
  </si>
  <si>
    <t xml:space="preserve">Verificar versión y TRIGGERS en tu cPanel (hoja 'Necesito de ti' #1 y #2)</t>
  </si>
  <si>
    <t xml:space="preserve">Un trigger de prueba se crea sin error 1419</t>
  </si>
  <si>
    <t xml:space="preserve">1.4</t>
  </si>
  <si>
    <t xml:space="preserve">Aplicar 001_init_mvp.sql y seed.sql en tu BD</t>
  </si>
  <si>
    <t xml:space="preserve">25 tablas creadas</t>
  </si>
  <si>
    <t xml:space="preserve">1.5</t>
  </si>
  <si>
    <t xml:space="preserve">Capa de BD: pool mysql2, transacciones, funciones auxiliares (param, ErrorNegocio, exigirRol…)</t>
  </si>
  <si>
    <t xml:space="preserve">Pruebas de integración conectan a MySQL real</t>
  </si>
  <si>
    <t xml:space="preserve">1.6</t>
  </si>
  <si>
    <t xml:space="preserve">Pruebas de integración de BD: trigger, vigente_key, código único</t>
  </si>
  <si>
    <t xml:space="preserve">UPDATE/DELETE de evento fallan; 2ª autorización vigente falla</t>
  </si>
  <si>
    <t xml:space="preserve">1.7</t>
  </si>
  <si>
    <t xml:space="preserve">scripts/seed-usuarios.ts (argon2id)</t>
  </si>
  <si>
    <t xml:space="preserve">Los 4 usuarios pueden entrar</t>
  </si>
  <si>
    <t xml:space="preserve">2.1</t>
  </si>
  <si>
    <t xml:space="preserve">Login, sesión, cookie y permisos por rol y agencia</t>
  </si>
  <si>
    <t xml:space="preserve">Un usuario sin permiso recibe 403</t>
  </si>
  <si>
    <t xml:space="preserve">2.2</t>
  </si>
  <si>
    <t xml:space="preserve">Nueva encomienda: bultos, QR, código legible, cotización con tabla</t>
  </si>
  <si>
    <t xml:space="preserve">Una transacción; sin regla → no se inventa precio</t>
  </si>
  <si>
    <t xml:space="preserve">2.1, 0.6</t>
  </si>
  <si>
    <t xml:space="preserve">2.3</t>
  </si>
  <si>
    <t xml:space="preserve">Etiquetas imprimibles (QR + XXXX-XXXX + destino grande)</t>
  </si>
  <si>
    <t xml:space="preserve">Se imprime desde el navegador</t>
  </si>
  <si>
    <t xml:space="preserve">En curso</t>
  </si>
  <si>
    <t xml:space="preserve">2.4</t>
  </si>
  <si>
    <t xml:space="preserve">Viaje + manifiesto borrador + cerrar</t>
  </si>
  <si>
    <t xml:space="preserve">Bultos pasan a pendiente_despacho al cerrar</t>
  </si>
  <si>
    <t xml:space="preserve">2.5</t>
  </si>
  <si>
    <t xml:space="preserve">Modificar manifiesto con motivo (nueva versión, invalida autorización)</t>
  </si>
  <si>
    <t xml:space="preserve">Criterio 5</t>
  </si>
  <si>
    <t xml:space="preserve">2.6</t>
  </si>
  <si>
    <t xml:space="preserve">Escaneo idempotente (carga y descarga) + pantalla de escaneo</t>
  </si>
  <si>
    <t xml:space="preserve">Mismo eventId 3 veces = 1 evento</t>
  </si>
  <si>
    <t xml:space="preserve">2.4, 0.4</t>
  </si>
  <si>
    <t xml:space="preserve">2.7</t>
  </si>
  <si>
    <t xml:space="preserve">Página pública /q/[token] indistinguible</t>
  </si>
  <si>
    <t xml:space="preserve">Criterio 18</t>
  </si>
  <si>
    <t xml:space="preserve">3.1</t>
  </si>
  <si>
    <t xml:space="preserve">Autorizar salida (conciliación) y excepción A</t>
  </si>
  <si>
    <t xml:space="preserve">Criterios 3, 4, 22</t>
  </si>
  <si>
    <t xml:space="preserve">2.6, 0.5</t>
  </si>
  <si>
    <t xml:space="preserve">3.2</t>
  </si>
  <si>
    <t xml:space="preserve">Solo con autorización vigente de la versión actual</t>
  </si>
  <si>
    <t xml:space="preserve">3.3</t>
  </si>
  <si>
    <t xml:space="preserve">Vista por parada: bajan/suben/continúan + conteo de continúan</t>
  </si>
  <si>
    <t xml:space="preserve">Criterio 21</t>
  </si>
  <si>
    <t xml:space="preserve">3.4</t>
  </si>
  <si>
    <t xml:space="preserve">Recepción bulto por bulto (disponible o pendiente de redespacho)</t>
  </si>
  <si>
    <t xml:space="preserve">Criterio 8</t>
  </si>
  <si>
    <t xml:space="preserve">3.5</t>
  </si>
  <si>
    <t xml:space="preserve">Redespacho con plazo (rojo si venció, sin job)</t>
  </si>
  <si>
    <t xml:space="preserve">Criterio 7</t>
  </si>
  <si>
    <t xml:space="preserve">3.6</t>
  </si>
  <si>
    <t xml:space="preserve">Incidencias (sobrante, descarga incorrecta, pasado de parada, faltante)</t>
  </si>
  <si>
    <t xml:space="preserve">Quedan visibles</t>
  </si>
  <si>
    <t xml:space="preserve">4.1</t>
  </si>
  <si>
    <t xml:space="preserve">Código de retiro (HMAC, caducidad, intentos atómicos) y entrega</t>
  </si>
  <si>
    <t xml:space="preserve">Criterios 9, 16</t>
  </si>
  <si>
    <t xml:space="preserve">4.2</t>
  </si>
  <si>
    <t xml:space="preserve">Entrega parcial con supervisor y motivo</t>
  </si>
  <si>
    <t xml:space="preserve">Criterio 19</t>
  </si>
  <si>
    <t xml:space="preserve">4.3</t>
  </si>
  <si>
    <t xml:space="preserve">Cola de mensajes (notificacion) + dedupe + adaptador simulado</t>
  </si>
  <si>
    <t xml:space="preserve">Criterio 10; pantalla Mensajes</t>
  </si>
  <si>
    <t xml:space="preserve">4.4</t>
  </si>
  <si>
    <t xml:space="preserve">Adaptador Evolution API + modo prueba + endpoint /api/cron/mensajes</t>
  </si>
  <si>
    <t xml:space="preserve">Llega un mensaje real a tu número de prueba</t>
  </si>
  <si>
    <t xml:space="preserve">4.3 + datos de Evolution</t>
  </si>
  <si>
    <t xml:space="preserve">4.5</t>
  </si>
  <si>
    <t xml:space="preserve">Cron de cPanel cada minuto</t>
  </si>
  <si>
    <t xml:space="preserve">La cola se vacía sola</t>
  </si>
  <si>
    <t xml:space="preserve">4.6</t>
  </si>
  <si>
    <t xml:space="preserve">Panel por rol + línea de tiempo del bulto + CSV de eventos</t>
  </si>
  <si>
    <t xml:space="preserve">Se ven las tarjetas</t>
  </si>
  <si>
    <t xml:space="preserve">4.7</t>
  </si>
  <si>
    <t xml:space="preserve">Prueba E2E del guion completo</t>
  </si>
  <si>
    <t xml:space="preserve">Pasa sin tocar la BD a mano</t>
  </si>
  <si>
    <t xml:space="preserve">4.8</t>
  </si>
  <si>
    <t xml:space="preserve">reset-demo.ts y ensayo general</t>
  </si>
  <si>
    <t xml:space="preserve">La demo se repite desde cero</t>
  </si>
  <si>
    <t xml:space="preserve">5.1</t>
  </si>
  <si>
    <t xml:space="preserve">Publicar la demo (opción A, B o C)</t>
  </si>
  <si>
    <t xml:space="preserve">Acceso con HTTPS desde un celular</t>
  </si>
  <si>
    <t xml:space="preserve">Guion de la demo = prueba E2E principal</t>
  </si>
  <si>
    <t xml:space="preserve">Se ensaya con `reset-demo.ts` para empezar desde cero cada vez.</t>
  </si>
  <si>
    <t xml:space="preserve">Paso</t>
  </si>
  <si>
    <t xml:space="preserve">Acción</t>
  </si>
  <si>
    <t xml:space="preserve">Resultado esperado</t>
  </si>
  <si>
    <t xml:space="preserve">Criterios</t>
  </si>
  <si>
    <t xml:space="preserve">Registra encomienda de 3 bultos Quito → Zumba</t>
  </si>
  <si>
    <t xml:space="preserve">Cotizacion con banner DEMO; 3 etiquetas; mensaje 'registro' en la cola</t>
  </si>
  <si>
    <t xml:space="preserve">Crea viaje y arma manifiesto: A baja en Loja; B y C bajan en Zumba. Cierra</t>
  </si>
  <si>
    <t xml:space="preserve">Bultos en pendiente_despacho; manifiesto v1 cerrado</t>
  </si>
  <si>
    <t xml:space="preserve">Parada 1: escanea carga de A y B</t>
  </si>
  <si>
    <t xml:space="preserve">Verde; A y B cargados</t>
  </si>
  <si>
    <t xml:space="preserve">Escanea un bulto AJENO</t>
  </si>
  <si>
    <t xml:space="preserve">Rojo; rechazo + incidencia 'sobrante'</t>
  </si>
  <si>
    <t xml:space="preserve">Escanea A otra vez</t>
  </si>
  <si>
    <t xml:space="preserve">Aviso 'repetido'; no suma</t>
  </si>
  <si>
    <t xml:space="preserve">2</t>
  </si>
  <si>
    <t xml:space="preserve">Intenta autorizar la salida (falta C y hay una incidencia sin resolver)</t>
  </si>
  <si>
    <t xml:space="preserve">BLOQUEADO; lista que falta; la incidencia no se puede saltar con excepcion</t>
  </si>
  <si>
    <t xml:space="preserve">3, 22</t>
  </si>
  <si>
    <t xml:space="preserve">Supervisor / Ayudante</t>
  </si>
  <si>
    <t xml:space="preserve">Resuelve la incidencia; el ayudante carga C</t>
  </si>
  <si>
    <t xml:space="preserve">Se puede autorizar</t>
  </si>
  <si>
    <t xml:space="preserve">Salida · Escaneo</t>
  </si>
  <si>
    <t xml:space="preserve">Autoriza y registra salida real</t>
  </si>
  <si>
    <t xml:space="preserve">Bultos en_transito; mensaje 'en camino' en la cola</t>
  </si>
  <si>
    <t xml:space="preserve">En Loja (parada 2): descarga A</t>
  </si>
  <si>
    <t xml:space="preserve">Verde; A descargado</t>
  </si>
  <si>
    <t xml:space="preserve">En Loja: intenta bajar B</t>
  </si>
  <si>
    <t xml:space="preserve">ALERTA roja 'no lo baje: continua'; sin cambio de estado; abre incidencia</t>
  </si>
  <si>
    <t xml:space="preserve">21</t>
  </si>
  <si>
    <t xml:space="preserve">Registra el conteo de los que continuan: 2</t>
  </si>
  <si>
    <t xml:space="preserve">Conteo coincide con lo esperado</t>
  </si>
  <si>
    <t xml:space="preserve">22</t>
  </si>
  <si>
    <t xml:space="preserve">Resuelve la incidencia de la alerta, autoriza y registra salida de Loja</t>
  </si>
  <si>
    <t xml:space="preserve">Bus sigue a Zumba; B y C siguen en_transito</t>
  </si>
  <si>
    <t xml:space="preserve">Operador Loja</t>
  </si>
  <si>
    <t xml:space="preserve">Recibe A escaneandolo</t>
  </si>
  <si>
    <t xml:space="preserve">A → pendiente_redespacho con plazo; la encomienda NO figura disponible; aviso 'llego a Loja'</t>
  </si>
  <si>
    <t xml:space="preserve">Recepcion · Redespachos</t>
  </si>
  <si>
    <t xml:space="preserve">8</t>
  </si>
  <si>
    <t xml:space="preserve">Ayudante / Operador</t>
  </si>
  <si>
    <t xml:space="preserve">En Zumba descarga y recibe B y C</t>
  </si>
  <si>
    <t xml:space="preserve">B y C → disponible_retiro; la encomienda sigue 'parcialmente disponible'</t>
  </si>
  <si>
    <t xml:space="preserve">Escaneo · Recepcion</t>
  </si>
  <si>
    <t xml:space="preserve">Segundo viaje: A sube en Loja y baja en Zumba; se carga, sale, se descarga y se recibe</t>
  </si>
  <si>
    <t xml:space="preserve">Con los 3 bultos: DISPONIBLE; se emite el codigo; aviso con codigo en Mensajes</t>
  </si>
  <si>
    <t xml:space="preserve">Viajes · Escaneo · Recepcion</t>
  </si>
  <si>
    <t xml:space="preserve">8, 10</t>
  </si>
  <si>
    <t xml:space="preserve">Entrega con codigo incorrecto 5 veces</t>
  </si>
  <si>
    <t xml:space="preserve">Se bloquea el codigo; se entrega con documento</t>
  </si>
  <si>
    <t xml:space="preserve">16</t>
  </si>
  <si>
    <t xml:space="preserve">(Alternativa) con el codigo correcto desde el inicio</t>
  </si>
  <si>
    <t xml:space="preserve">Entregada</t>
  </si>
  <si>
    <t xml:space="preserve">9</t>
  </si>
  <si>
    <t xml:space="preserve">Abren la linea de tiempo del bulto desde el Panel</t>
  </si>
  <si>
    <t xml:space="preserve">Todos los eventos: quien, cuando, que</t>
  </si>
  <si>
    <t xml:space="preserve">Linea de tiempo</t>
  </si>
  <si>
    <t xml:space="preserve">Criterios de aceptación (v5 §11 filtrados por la v5.1)</t>
  </si>
  <si>
    <t xml:space="preserve">Criterio</t>
  </si>
  <si>
    <t xml:space="preserve">¿Entra en el MVP?</t>
  </si>
  <si>
    <t xml:space="preserve">Cómo se prueba</t>
  </si>
  <si>
    <t xml:space="preserve">Paquete ajeno genera rechazo o incidencia</t>
  </si>
  <si>
    <t xml:space="preserve">Unitaria escaneo</t>
  </si>
  <si>
    <t xml:space="preserve">Cumplido</t>
  </si>
  <si>
    <t xml:space="preserve">Escaneo repetido no suma</t>
  </si>
  <si>
    <t xml:space="preserve">Unitaria + integración</t>
  </si>
  <si>
    <t xml:space="preserve">Faltante bloquea la autorización normal</t>
  </si>
  <si>
    <t xml:space="preserve">Unitaria salida</t>
  </si>
  <si>
    <t xml:space="preserve">Excepción exige permisos y motivo</t>
  </si>
  <si>
    <t xml:space="preserve">Endpoint autorizar</t>
  </si>
  <si>
    <t xml:space="preserve">Cambio de manifiesto obliga a reevaluar</t>
  </si>
  <si>
    <t xml:space="preserve">Descarga incorrecta no cambia el destino</t>
  </si>
  <si>
    <t xml:space="preserve">Redespacho pendiente permanece visible</t>
  </si>
  <si>
    <t xml:space="preserve">Simplificado (panel, sin job)</t>
  </si>
  <si>
    <t xml:space="preserve">Vista del panel</t>
  </si>
  <si>
    <t xml:space="preserve">Encomienda incompleta no figura disponible</t>
  </si>
  <si>
    <t xml:space="preserve">Vista v_encomienda_estado (ya probada)</t>
  </si>
  <si>
    <t xml:space="preserve">Entrega exige verificación acordada</t>
  </si>
  <si>
    <t xml:space="preserve">Servicio entregar</t>
  </si>
  <si>
    <t xml:space="preserve">Reintento no duplica eventos ni mensajes</t>
  </si>
  <si>
    <t xml:space="preserve">Integración + dedupe_key</t>
  </si>
  <si>
    <t xml:space="preserve">Sin acceso fuera de permisos</t>
  </si>
  <si>
    <t xml:space="preserve">Simplificado (sin RLS)</t>
  </si>
  <si>
    <t xml:space="preserve">Usuario de otra agencia → 403/404</t>
  </si>
  <si>
    <t xml:space="preserve">Respaldo restaurable</t>
  </si>
  <si>
    <t xml:space="preserve">No (E-10)</t>
  </si>
  <si>
    <t xml:space="preserve">Fuera del MVP</t>
  </si>
  <si>
    <t xml:space="preserve">Anulado o retenido no se carga</t>
  </si>
  <si>
    <t xml:space="preserve">Sin conexión no hay autorización normal</t>
  </si>
  <si>
    <t xml:space="preserve">No (E-01)</t>
  </si>
  <si>
    <t xml:space="preserve">WhatsApp caído: la operación sigue</t>
  </si>
  <si>
    <t xml:space="preserve">Simplificado</t>
  </si>
  <si>
    <t xml:space="preserve">Código incorrecto, vencido o usado se rechaza; intentos limitados</t>
  </si>
  <si>
    <t xml:space="preserve">Integración de intentos</t>
  </si>
  <si>
    <t xml:space="preserve">Corrección crea evento vinculado</t>
  </si>
  <si>
    <t xml:space="preserve">QR sin sesión no revela datos</t>
  </si>
  <si>
    <t xml:space="preserve">/q válido vs inválido idénticos</t>
  </si>
  <si>
    <t xml:space="preserve">Entrega parcial exige supervisor y motivo</t>
  </si>
  <si>
    <t xml:space="preserve">Escaneo responde en el tiempo acordado</t>
  </si>
  <si>
    <t xml:space="preserve">Bulto que continúa no pasa a Descargado</t>
  </si>
  <si>
    <t xml:space="preserve">Salida intermedia exige conciliar o excepción</t>
  </si>
  <si>
    <t xml:space="preserve">Riesgos conocidos</t>
  </si>
  <si>
    <t xml:space="preserve">Riesgo</t>
  </si>
  <si>
    <t xml:space="preserve">Impacto</t>
  </si>
  <si>
    <t xml:space="preserve">Probabilidad</t>
  </si>
  <si>
    <t xml:space="preserve">Qué hacemos</t>
  </si>
  <si>
    <t xml:space="preserve">Cuándo mirarlo</t>
  </si>
  <si>
    <t xml:space="preserve">Tu cPanel no permite crear TRIGGERS (error 1419 / SUPER). Sin ellos, 'eventos inmutables' dependería solo del código</t>
  </si>
  <si>
    <t xml:space="preserve">Alto</t>
  </si>
  <si>
    <t xml:space="preserve">Media</t>
  </si>
  <si>
    <t xml:space="preserve">Probarlo el día 1 (hoja 'Necesito de ti' #2). Si falla: (a) BD en un VPS o servidor propio, (b) pedir al hosting el permiso, (c) respaldo propuesto: cada evento guarda el hash del anterior (cadena) para detectar manipulación</t>
  </si>
  <si>
    <t xml:space="preserve">Antes de E1</t>
  </si>
  <si>
    <t xml:space="preserve">Next.js dentro del Node.js App de cPanel: poca memoria o versión vieja de Node</t>
  </si>
  <si>
    <t xml:space="preserve">Medio</t>
  </si>
  <si>
    <t xml:space="preserve">Compilar en tu PC y subir el resultado; si no alcanza, demo desde laptop (opción B) o VPS</t>
  </si>
  <si>
    <t xml:space="preserve">Antes del despliegue</t>
  </si>
  <si>
    <t xml:space="preserve">Evolution no es la API oficial: riesgo de que bloqueen el número</t>
  </si>
  <si>
    <t xml:space="preserve">Número dedicado, solo mensajes transaccionales a destinatarios reales, bajo volumen. Opción futura: Cloud API oficial (la interfaz permite cambiar)</t>
  </si>
  <si>
    <t xml:space="preserve">En la demo los mensajes de Evolution son REALES: podría llegar uno a alguien que no sabe</t>
  </si>
  <si>
    <t xml:space="preserve">`mensajes.modo_prueba = true` con lista de números permitidos; todo lo demás se descarta</t>
  </si>
  <si>
    <t xml:space="preserve">Cámara no funciona sin HTTPS</t>
  </si>
  <si>
    <t xml:space="preserve">Alta</t>
  </si>
  <si>
    <t xml:space="preserve">Dominio con SSL (AutoSSL de cPanel) o usar localhost; siempre el campo de código manual como respaldo</t>
  </si>
  <si>
    <t xml:space="preserve">Antes de la demo</t>
  </si>
  <si>
    <t xml:space="preserve">El código de referencia de la v5 nunca se ejecutó</t>
  </si>
  <si>
    <t xml:space="preserve">Pruebas del dominio primero (E0); se corrige lo que falle</t>
  </si>
  <si>
    <t xml:space="preserve">SQL probado en MariaDB 10.11; tu cPanel podría ser MySQL 5.7/8 u otra versión de MariaDB</t>
  </si>
  <si>
    <t xml:space="preserve">Dime la versión; ajusto y vuelvo a probar. CHECK requiere MySQL ≥ 8.0.16 o MariaDB ≥ 10.2</t>
  </si>
  <si>
    <t xml:space="preserve">BD remota (opción B): latencia y puerto abierto a Internet</t>
  </si>
  <si>
    <t xml:space="preserve">Permitir solo tu IP; usar la BD solo para la demo; no meter datos reales</t>
  </si>
  <si>
    <t xml:space="preserve">El cron de cPanel corre como mínimo cada minuto</t>
  </si>
  <si>
    <t xml:space="preserve">Bajo</t>
  </si>
  <si>
    <t xml:space="preserve">Aceptable: el aviso llega hasta ~1 min después</t>
  </si>
  <si>
    <t xml:space="preserve">Zona horaria del servidor distinta de Ecuador</t>
  </si>
  <si>
    <t xml:space="preserve">Guardar UTC y formatear en America/Guayaquil (E-18)</t>
  </si>
  <si>
    <t xml:space="preserve">Alcance: el MVP crece</t>
  </si>
  <si>
    <t xml:space="preserve">Todo cambio entra como enmienda numerada y se mueve al plan; lo recortado queda en la hoja Decisiones</t>
  </si>
  <si>
    <t xml:space="preserve">Siempre</t>
  </si>
  <si>
    <t xml:space="preserve">Bitácora de avances</t>
  </si>
  <si>
    <t xml:space="preserve">Cada vez que avancemos, aquí se anota qué se terminó y qué enmienda nueva (E-19, E-20…) cambia algo.</t>
  </si>
  <si>
    <t xml:space="preserve">Fecha</t>
  </si>
  <si>
    <t xml:space="preserve">Avance / enmienda</t>
  </si>
  <si>
    <t xml:space="preserve">2026-10-06</t>
  </si>
  <si>
    <t xml:space="preserve">Se crea v5.1: MVP demo, sin offline (E-01 a E-10)</t>
  </si>
  <si>
    <t xml:space="preserve">Se define el stack: Next.js + MySQL/MariaDB (cPanel) + Evolution API (E-11 a E-18)</t>
  </si>
  <si>
    <t xml:space="preserve">001_init_mvp.sql y seed.sql escritos y validados en MariaDB 10.11 (triggers, unicidad vigente, vista, intentos). Pendiente probar en tu cPanel</t>
  </si>
  <si>
    <t xml:space="preserve">Proyecto Next.js completo: dominio (27 pruebas), 25 tablas, servicios, 31 endpoints, 12 pantallas. 23 pruebas de integracion en MariaDB (guion completo) y 21 chequeos HTTP en verde. Enmiendas E-19 a E-22. NO probado: tu cPanel, MySQL 8, Evolution real, pantallas en navegador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</si>
</sst>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864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C6EF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E2F3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Base_Proyecto_Trazabilidad_MVP.xlsx" TargetMode="External"/><Relationship Id="rId2" Type="http://schemas.openxmlformats.org/officeDocument/2006/relationships/hyperlink" Target="Base_Proyecto_Trazabilidad_MVP.xlsx" TargetMode="External"/><Relationship Id="rId3" Type="http://schemas.openxmlformats.org/officeDocument/2006/relationships/hyperlink" Target="Base_Proyecto_Trazabilidad_MVP.xlsx" TargetMode="External"/><Relationship Id="rId4" Type="http://schemas.openxmlformats.org/officeDocument/2006/relationships/hyperlink" Target="Base_Proyecto_Trazabilidad_MVP.xlsx" TargetMode="External"/><Relationship Id="rId5" Type="http://schemas.openxmlformats.org/officeDocument/2006/relationships/hyperlink" Target="Base_Proyecto_Trazabilidad_MVP.xlsx" TargetMode="External"/><Relationship Id="rId6" Type="http://schemas.openxmlformats.org/officeDocument/2006/relationships/hyperlink" Target="Base_Proyecto_Trazabilidad_MVP.xlsx" TargetMode="External"/><Relationship Id="rId7" Type="http://schemas.openxmlformats.org/officeDocument/2006/relationships/hyperlink" Target="Base_Proyecto_Trazabilidad_MVP.xlsx" TargetMode="External"/><Relationship Id="rId8" Type="http://schemas.openxmlformats.org/officeDocument/2006/relationships/hyperlink" Target="Base_Proyecto_Trazabilidad_MVP.xlsx" TargetMode="External"/><Relationship Id="rId9" Type="http://schemas.openxmlformats.org/officeDocument/2006/relationships/hyperlink" Target="Base_Proyecto_Trazabilidad_MVP.xlsx" TargetMode="External"/><Relationship Id="rId10" Type="http://schemas.openxmlformats.org/officeDocument/2006/relationships/hyperlink" Target="Base_Proyecto_Trazabilidad_MVP.xlsx" TargetMode="External"/><Relationship Id="rId11" Type="http://schemas.openxmlformats.org/officeDocument/2006/relationships/hyperlink" Target="Base_Proyecto_Trazabilidad_MVP.xlsx" TargetMode="External"/><Relationship Id="rId12" Type="http://schemas.openxmlformats.org/officeDocument/2006/relationships/hyperlink" Target="Base_Proyecto_Trazabilidad_MVP.xlsx" TargetMode="External"/><Relationship Id="rId13" Type="http://schemas.openxmlformats.org/officeDocument/2006/relationships/hyperlink" Target="Base_Proyecto_Trazabilidad_MVP.xlsx" TargetMode="External"/><Relationship Id="rId14" Type="http://schemas.openxmlformats.org/officeDocument/2006/relationships/hyperlink" Target="Base_Proyecto_Trazabilidad_MVP.xlsx" TargetMode="External"/><Relationship Id="rId15" Type="http://schemas.openxmlformats.org/officeDocument/2006/relationships/hyperlink" Target="Base_Proyecto_Trazabilidad_MVP.xlsx" TargetMode="External"/><Relationship Id="rId16" Type="http://schemas.openxmlformats.org/officeDocument/2006/relationships/hyperlink" Target="Base_Proyecto_Trazabilidad_MVP.xlsx" TargetMode="External"/><Relationship Id="rId17" Type="http://schemas.openxmlformats.org/officeDocument/2006/relationships/hyperlink" Target="Base_Proyecto_Trazabilidad_MVP.xlsx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6"/>
    <col collapsed="false" customWidth="true" hidden="false" outlineLevel="0" max="5" min="5" style="0" width="70"/>
  </cols>
  <sheetData>
    <row r="1" customFormat="false" ht="50.7" hidden="false" customHeight="false" outlineLevel="0" collapsed="false">
      <c r="A1" s="1" t="s">
        <v>0</v>
      </c>
    </row>
    <row r="2" customFormat="false" ht="35.0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48" hidden="false" customHeight="true" outlineLevel="0" collapsed="false">
      <c r="A5" s="4" t="s">
        <v>3</v>
      </c>
      <c r="B5" s="4"/>
      <c r="C5" s="4"/>
      <c r="D5" s="4"/>
      <c r="E5" s="4"/>
    </row>
    <row r="7" customFormat="false" ht="26.85" hidden="false" customHeight="false" outlineLevel="0" collapsed="false">
      <c r="A7" s="3" t="s">
        <v>4</v>
      </c>
    </row>
    <row r="8" customFormat="false" ht="15" hidden="false" customHeight="false" outlineLevel="0" collapsed="false">
      <c r="A8" s="5" t="s">
        <v>5</v>
      </c>
      <c r="B8" s="5" t="s">
        <v>6</v>
      </c>
      <c r="C8" s="5" t="s">
        <v>7</v>
      </c>
      <c r="D8" s="5" t="s">
        <v>8</v>
      </c>
    </row>
    <row r="9" customFormat="false" ht="15" hidden="false" customHeight="false" outlineLevel="0" collapsed="false">
      <c r="A9" s="6" t="s">
        <v>9</v>
      </c>
      <c r="B9" s="7" t="n">
        <f aca="false">COUNTIF(Plan!$B$4:$B$39,"E0")</f>
        <v>7</v>
      </c>
      <c r="C9" s="7" t="n">
        <f aca="false">COUNTIFS(Plan!$B$4:$B$39,"E0",Plan!$F$4:$F$39,"Hecho")</f>
        <v>7</v>
      </c>
      <c r="D9" s="8" t="n">
        <f aca="false">IF(B9=0,0,C9/B9)</f>
        <v>1</v>
      </c>
    </row>
    <row r="10" customFormat="false" ht="15" hidden="false" customHeight="false" outlineLevel="0" collapsed="false">
      <c r="A10" s="6" t="s">
        <v>10</v>
      </c>
      <c r="B10" s="7" t="n">
        <f aca="false">COUNTIF(Plan!$B$4:$B$39,"E1")</f>
        <v>7</v>
      </c>
      <c r="C10" s="7" t="n">
        <f aca="false">COUNTIFS(Plan!$B$4:$B$39,"E1",Plan!$F$4:$F$39,"Hecho")</f>
        <v>5</v>
      </c>
      <c r="D10" s="8" t="n">
        <f aca="false">IF(B10=0,0,C10/B10)</f>
        <v>0.714285714285714</v>
      </c>
    </row>
    <row r="11" customFormat="false" ht="15" hidden="false" customHeight="false" outlineLevel="0" collapsed="false">
      <c r="A11" s="6" t="s">
        <v>11</v>
      </c>
      <c r="B11" s="7" t="n">
        <f aca="false">COUNTIF(Plan!$B$4:$B$39,"E2")</f>
        <v>7</v>
      </c>
      <c r="C11" s="7" t="n">
        <f aca="false">COUNTIFS(Plan!$B$4:$B$39,"E2",Plan!$F$4:$F$39,"Hecho")</f>
        <v>6</v>
      </c>
      <c r="D11" s="8" t="n">
        <f aca="false">IF(B11=0,0,C11/B11)</f>
        <v>0.857142857142857</v>
      </c>
    </row>
    <row r="12" customFormat="false" ht="15" hidden="false" customHeight="false" outlineLevel="0" collapsed="false">
      <c r="A12" s="6" t="s">
        <v>12</v>
      </c>
      <c r="B12" s="7" t="n">
        <f aca="false">COUNTIF(Plan!$B$4:$B$39,"E3")</f>
        <v>6</v>
      </c>
      <c r="C12" s="7" t="n">
        <f aca="false">COUNTIFS(Plan!$B$4:$B$39,"E3",Plan!$F$4:$F$39,"Hecho")</f>
        <v>5</v>
      </c>
      <c r="D12" s="8" t="n">
        <f aca="false">IF(B12=0,0,C12/B12)</f>
        <v>0.833333333333333</v>
      </c>
    </row>
    <row r="13" customFormat="false" ht="15" hidden="false" customHeight="false" outlineLevel="0" collapsed="false">
      <c r="A13" s="6" t="s">
        <v>13</v>
      </c>
      <c r="B13" s="7" t="n">
        <f aca="false">COUNTIF(Plan!$B$4:$B$39,"E4")</f>
        <v>8</v>
      </c>
      <c r="C13" s="7" t="n">
        <f aca="false">COUNTIFS(Plan!$B$4:$B$39,"E4",Plan!$F$4:$F$39,"Hecho")</f>
        <v>5</v>
      </c>
      <c r="D13" s="8" t="n">
        <f aca="false">IF(B13=0,0,C13/B13)</f>
        <v>0.625</v>
      </c>
    </row>
    <row r="14" customFormat="false" ht="15" hidden="false" customHeight="false" outlineLevel="0" collapsed="false">
      <c r="A14" s="6" t="s">
        <v>14</v>
      </c>
      <c r="B14" s="7" t="n">
        <f aca="false">COUNTIF(Plan!$B$4:$B$39,"Despliegue")</f>
        <v>1</v>
      </c>
      <c r="C14" s="7" t="n">
        <f aca="false">COUNTIFS(Plan!$B$4:$B$39,"Despliegue",Plan!$F$4:$F$39,"Hecho")</f>
        <v>0</v>
      </c>
      <c r="D14" s="8" t="n">
        <f aca="false">IF(B14=0,0,C14/B14)</f>
        <v>0</v>
      </c>
    </row>
    <row r="15" customFormat="false" ht="15" hidden="false" customHeight="false" outlineLevel="0" collapsed="false">
      <c r="A15" s="9" t="s">
        <v>15</v>
      </c>
      <c r="B15" s="10" t="n">
        <f aca="false">SUM(B9:B14)</f>
        <v>36</v>
      </c>
      <c r="C15" s="10" t="n">
        <f aca="false">SUM(C9:C14)</f>
        <v>28</v>
      </c>
      <c r="D15" s="11" t="n">
        <f aca="false">IF(B15=0,0,C15/B15)</f>
        <v>0.777777777777778</v>
      </c>
    </row>
    <row r="17" customFormat="false" ht="15" hidden="false" customHeight="false" outlineLevel="0" collapsed="false">
      <c r="A17" s="3" t="s">
        <v>16</v>
      </c>
    </row>
    <row r="18" customFormat="false" ht="15" hidden="false" customHeight="false" outlineLevel="0" collapsed="false">
      <c r="A18" s="12" t="s">
        <v>17</v>
      </c>
      <c r="B18" s="13" t="n">
        <f aca="false">COUNTIF(Aceptación!$E$3:$E$24,"&lt;&gt;Fuera del MVP")</f>
        <v>18</v>
      </c>
    </row>
    <row r="19" customFormat="false" ht="15" hidden="false" customHeight="false" outlineLevel="0" collapsed="false">
      <c r="A19" s="12" t="s">
        <v>18</v>
      </c>
      <c r="B19" s="13" t="n">
        <f aca="false">COUNTIF(Aceptación!$E$3:$E$24,"Cumplido")</f>
        <v>15</v>
      </c>
    </row>
    <row r="21" customFormat="false" ht="15" hidden="false" customHeight="false" outlineLevel="0" collapsed="false">
      <c r="A21" s="3" t="s">
        <v>19</v>
      </c>
    </row>
    <row r="22" customFormat="false" ht="15" hidden="false" customHeight="true" outlineLevel="0" collapsed="false">
      <c r="A22" s="14" t="s">
        <v>20</v>
      </c>
      <c r="B22" s="4" t="s">
        <v>21</v>
      </c>
      <c r="C22" s="4"/>
      <c r="D22" s="4"/>
      <c r="E22" s="4"/>
    </row>
    <row r="23" customFormat="false" ht="15" hidden="false" customHeight="true" outlineLevel="0" collapsed="false">
      <c r="A23" s="14" t="s">
        <v>22</v>
      </c>
      <c r="B23" s="4" t="s">
        <v>23</v>
      </c>
      <c r="C23" s="4"/>
      <c r="D23" s="4"/>
      <c r="E23" s="4"/>
    </row>
    <row r="24" customFormat="false" ht="15" hidden="false" customHeight="true" outlineLevel="0" collapsed="false">
      <c r="A24" s="14" t="s">
        <v>24</v>
      </c>
      <c r="B24" s="4" t="s">
        <v>25</v>
      </c>
      <c r="C24" s="4"/>
      <c r="D24" s="4"/>
      <c r="E24" s="4"/>
    </row>
    <row r="25" customFormat="false" ht="15" hidden="false" customHeight="true" outlineLevel="0" collapsed="false">
      <c r="A25" s="14" t="s">
        <v>26</v>
      </c>
      <c r="B25" s="4" t="s">
        <v>27</v>
      </c>
      <c r="C25" s="4"/>
      <c r="D25" s="4"/>
      <c r="E25" s="4"/>
    </row>
    <row r="26" customFormat="false" ht="15" hidden="false" customHeight="true" outlineLevel="0" collapsed="false">
      <c r="A26" s="14" t="s">
        <v>28</v>
      </c>
      <c r="B26" s="4" t="s">
        <v>29</v>
      </c>
      <c r="C26" s="4"/>
      <c r="D26" s="4"/>
      <c r="E26" s="4"/>
    </row>
    <row r="27" customFormat="false" ht="15" hidden="false" customHeight="true" outlineLevel="0" collapsed="false">
      <c r="A27" s="14" t="s">
        <v>30</v>
      </c>
      <c r="B27" s="4" t="s">
        <v>31</v>
      </c>
      <c r="C27" s="4"/>
      <c r="D27" s="4"/>
      <c r="E27" s="4"/>
    </row>
    <row r="28" customFormat="false" ht="15" hidden="false" customHeight="true" outlineLevel="0" collapsed="false">
      <c r="A28" s="14" t="s">
        <v>32</v>
      </c>
      <c r="B28" s="4" t="s">
        <v>33</v>
      </c>
      <c r="C28" s="4"/>
      <c r="D28" s="4"/>
      <c r="E28" s="4"/>
    </row>
    <row r="29" customFormat="false" ht="15" hidden="false" customHeight="true" outlineLevel="0" collapsed="false">
      <c r="A29" s="14" t="s">
        <v>34</v>
      </c>
      <c r="B29" s="4" t="s">
        <v>35</v>
      </c>
      <c r="C29" s="4"/>
      <c r="D29" s="4"/>
      <c r="E29" s="4"/>
    </row>
    <row r="30" customFormat="false" ht="15" hidden="false" customHeight="true" outlineLevel="0" collapsed="false">
      <c r="A30" s="14" t="s">
        <v>36</v>
      </c>
      <c r="B30" s="4" t="s">
        <v>37</v>
      </c>
      <c r="C30" s="4"/>
      <c r="D30" s="4"/>
      <c r="E30" s="4"/>
    </row>
    <row r="31" customFormat="false" ht="15" hidden="false" customHeight="true" outlineLevel="0" collapsed="false">
      <c r="A31" s="14" t="s">
        <v>38</v>
      </c>
      <c r="B31" s="4" t="s">
        <v>39</v>
      </c>
      <c r="C31" s="4"/>
      <c r="D31" s="4"/>
      <c r="E31" s="4"/>
    </row>
    <row r="32" customFormat="false" ht="15" hidden="false" customHeight="true" outlineLevel="0" collapsed="false">
      <c r="A32" s="14" t="s">
        <v>40</v>
      </c>
      <c r="B32" s="4" t="s">
        <v>41</v>
      </c>
      <c r="C32" s="4"/>
      <c r="D32" s="4"/>
      <c r="E32" s="4"/>
    </row>
    <row r="33" customFormat="false" ht="15" hidden="false" customHeight="true" outlineLevel="0" collapsed="false">
      <c r="A33" s="14" t="s">
        <v>42</v>
      </c>
      <c r="B33" s="4" t="s">
        <v>43</v>
      </c>
      <c r="C33" s="4"/>
      <c r="D33" s="4"/>
      <c r="E33" s="4"/>
    </row>
    <row r="34" customFormat="false" ht="15" hidden="false" customHeight="true" outlineLevel="0" collapsed="false">
      <c r="A34" s="14" t="s">
        <v>44</v>
      </c>
      <c r="B34" s="4" t="s">
        <v>45</v>
      </c>
      <c r="C34" s="4"/>
      <c r="D34" s="4"/>
      <c r="E34" s="4"/>
    </row>
    <row r="35" customFormat="false" ht="15" hidden="false" customHeight="true" outlineLevel="0" collapsed="false">
      <c r="A35" s="14" t="s">
        <v>46</v>
      </c>
      <c r="B35" s="4" t="s">
        <v>47</v>
      </c>
      <c r="C35" s="4"/>
      <c r="D35" s="4"/>
      <c r="E35" s="4"/>
    </row>
    <row r="36" customFormat="false" ht="15" hidden="false" customHeight="true" outlineLevel="0" collapsed="false">
      <c r="A36" s="14" t="s">
        <v>48</v>
      </c>
      <c r="B36" s="4" t="s">
        <v>49</v>
      </c>
      <c r="C36" s="4"/>
      <c r="D36" s="4"/>
      <c r="E36" s="4"/>
    </row>
    <row r="37" customFormat="false" ht="15" hidden="false" customHeight="true" outlineLevel="0" collapsed="false">
      <c r="A37" s="14" t="s">
        <v>50</v>
      </c>
      <c r="B37" s="4" t="s">
        <v>51</v>
      </c>
      <c r="C37" s="4"/>
      <c r="D37" s="4"/>
      <c r="E37" s="4"/>
    </row>
    <row r="38" customFormat="false" ht="15" hidden="false" customHeight="true" outlineLevel="0" collapsed="false">
      <c r="A38" s="14" t="s">
        <v>52</v>
      </c>
      <c r="B38" s="4" t="s">
        <v>53</v>
      </c>
      <c r="C38" s="4"/>
      <c r="D38" s="4"/>
      <c r="E38" s="4"/>
    </row>
    <row r="40" customFormat="false" ht="15" hidden="false" customHeight="false" outlineLevel="0" collapsed="false">
      <c r="A40" s="3" t="s">
        <v>54</v>
      </c>
    </row>
    <row r="41" customFormat="false" ht="15" hidden="false" customHeight="true" outlineLevel="0" collapsed="false">
      <c r="A41" s="12" t="s">
        <v>55</v>
      </c>
      <c r="B41" s="4" t="s">
        <v>56</v>
      </c>
      <c r="C41" s="4"/>
      <c r="D41" s="4"/>
      <c r="E41" s="4"/>
    </row>
    <row r="42" customFormat="false" ht="15" hidden="false" customHeight="true" outlineLevel="0" collapsed="false">
      <c r="A42" s="15" t="s">
        <v>57</v>
      </c>
      <c r="B42" s="4" t="s">
        <v>58</v>
      </c>
      <c r="C42" s="4"/>
      <c r="D42" s="4"/>
      <c r="E42" s="4"/>
    </row>
    <row r="43" customFormat="false" ht="15" hidden="false" customHeight="true" outlineLevel="0" collapsed="false">
      <c r="A43" s="12" t="s">
        <v>59</v>
      </c>
      <c r="B43" s="4" t="s">
        <v>60</v>
      </c>
      <c r="C43" s="4"/>
      <c r="D43" s="4"/>
      <c r="E43" s="4"/>
    </row>
  </sheetData>
  <mergeCells count="21">
    <mergeCell ref="A5:E5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B41:E41"/>
    <mergeCell ref="B42:E42"/>
    <mergeCell ref="B43:E43"/>
  </mergeCells>
  <hyperlinks>
    <hyperlink ref="A22" r:id="rId1" location="'Stack'!A1" display="Stack"/>
    <hyperlink ref="A23" r:id="rId2" location="'Decisiones'!A1" display="Decisiones"/>
    <hyperlink ref="A24" r:id="rId3" location="'Necesito%20de%20ti'!A1" display="Necesito de ti"/>
    <hyperlink ref="A25" r:id="rId4" location="'Carpetas'!A1" display="Carpetas"/>
    <hyperlink ref="A26" r:id="rId5" location="'Tablas%20BD'!A1" display="Tablas BD"/>
    <hyperlink ref="A27" r:id="rId6" location="'Estados'!A1" display="Estados"/>
    <hyperlink ref="A28" r:id="rId7" location="'Roles%20y%20permisos'!A1" display="Roles y permisos"/>
    <hyperlink ref="A29" r:id="rId8" location="'Reglas%20e%20invariantes'!A1" display="Reglas e invariantes"/>
    <hyperlink ref="A30" r:id="rId9" location="'Pantallas'!A1" display="Pantallas"/>
    <hyperlink ref="A31" r:id="rId10" location="'API'!A1" display="API"/>
    <hyperlink ref="A32" r:id="rId11" location="'Mensajes%20WhatsApp'!A1" display="Mensajes WhatsApp"/>
    <hyperlink ref="A33" r:id="rId12" location="'Parametros'!A1" display="Parametros"/>
    <hyperlink ref="A34" r:id="rId13" location="'Plan'!A1" display="Plan"/>
    <hyperlink ref="A35" r:id="rId14" location="'Guion%20demo'!A1" display="Guion demo"/>
    <hyperlink ref="A36" r:id="rId15" location="'Aceptación'!A1" display="Aceptación"/>
    <hyperlink ref="A37" r:id="rId16" location="'Riesgos'!A1" display="Riesgos"/>
    <hyperlink ref="A38" r:id="rId17" location="'Bitácora'!A1" display="Bitácora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8"/>
    <col collapsed="false" customWidth="true" hidden="false" outlineLevel="0" max="3" min="3" style="0" width="70"/>
    <col collapsed="false" customWidth="true" hidden="false" outlineLevel="0" max="4" min="4" style="0" width="34"/>
    <col collapsed="false" customWidth="true" hidden="false" outlineLevel="0" max="5" min="5" style="0" width="24"/>
  </cols>
  <sheetData>
    <row r="1" customFormat="false" ht="16.15" hidden="false" customHeight="false" outlineLevel="0" collapsed="false">
      <c r="A1" s="16" t="s">
        <v>61</v>
      </c>
    </row>
    <row r="2" customFormat="false" ht="30" hidden="false" customHeight="true" outlineLevel="0" collapsed="false">
      <c r="A2" s="17" t="s">
        <v>62</v>
      </c>
      <c r="B2" s="17"/>
      <c r="C2" s="17"/>
      <c r="D2" s="17"/>
      <c r="E2" s="17"/>
    </row>
    <row r="3" customFormat="false" ht="15" hidden="false" customHeight="false" outlineLevel="0" collapsed="false">
      <c r="A3" s="18" t="s">
        <v>63</v>
      </c>
      <c r="B3" s="18" t="s">
        <v>64</v>
      </c>
      <c r="C3" s="18" t="s">
        <v>65</v>
      </c>
      <c r="D3" s="18" t="s">
        <v>66</v>
      </c>
      <c r="E3" s="18" t="s">
        <v>67</v>
      </c>
    </row>
    <row r="4" customFormat="false" ht="23.85" hidden="false" customHeight="false" outlineLevel="0" collapsed="false">
      <c r="A4" s="19" t="s">
        <v>68</v>
      </c>
      <c r="B4" s="19" t="s">
        <v>69</v>
      </c>
      <c r="C4" s="19" t="s">
        <v>70</v>
      </c>
      <c r="D4" s="19" t="s">
        <v>71</v>
      </c>
      <c r="E4" s="19" t="s">
        <v>72</v>
      </c>
    </row>
    <row r="5" customFormat="false" ht="23.85" hidden="false" customHeight="false" outlineLevel="0" collapsed="false">
      <c r="A5" s="19" t="s">
        <v>73</v>
      </c>
      <c r="B5" s="19" t="s">
        <v>74</v>
      </c>
      <c r="C5" s="19" t="s">
        <v>75</v>
      </c>
      <c r="D5" s="19" t="s">
        <v>76</v>
      </c>
      <c r="E5" s="19" t="s">
        <v>77</v>
      </c>
    </row>
    <row r="6" customFormat="false" ht="23.85" hidden="false" customHeight="false" outlineLevel="0" collapsed="false">
      <c r="A6" s="19" t="s">
        <v>78</v>
      </c>
      <c r="B6" s="19" t="s">
        <v>79</v>
      </c>
      <c r="C6" s="19" t="s">
        <v>80</v>
      </c>
      <c r="D6" s="19" t="s">
        <v>81</v>
      </c>
      <c r="E6" s="19" t="s">
        <v>72</v>
      </c>
    </row>
    <row r="7" customFormat="false" ht="15" hidden="false" customHeight="false" outlineLevel="0" collapsed="false">
      <c r="A7" s="19" t="s">
        <v>82</v>
      </c>
      <c r="B7" s="19" t="s">
        <v>83</v>
      </c>
      <c r="C7" s="19" t="s">
        <v>84</v>
      </c>
      <c r="D7" s="19" t="s">
        <v>85</v>
      </c>
      <c r="E7" s="19" t="s">
        <v>72</v>
      </c>
    </row>
    <row r="8" customFormat="false" ht="15" hidden="false" customHeight="false" outlineLevel="0" collapsed="false">
      <c r="A8" s="19" t="s">
        <v>86</v>
      </c>
      <c r="B8" s="19" t="s">
        <v>87</v>
      </c>
      <c r="C8" s="19" t="s">
        <v>88</v>
      </c>
      <c r="D8" s="19" t="s">
        <v>89</v>
      </c>
      <c r="E8" s="19" t="s">
        <v>72</v>
      </c>
    </row>
    <row r="9" customFormat="false" ht="15" hidden="false" customHeight="false" outlineLevel="0" collapsed="false">
      <c r="A9" s="19" t="s">
        <v>36</v>
      </c>
      <c r="B9" s="19" t="s">
        <v>90</v>
      </c>
      <c r="C9" s="19" t="s">
        <v>91</v>
      </c>
      <c r="D9" s="19" t="s">
        <v>92</v>
      </c>
      <c r="E9" s="19" t="s">
        <v>72</v>
      </c>
    </row>
    <row r="10" customFormat="false" ht="35.05" hidden="false" customHeight="false" outlineLevel="0" collapsed="false">
      <c r="A10" s="19" t="s">
        <v>93</v>
      </c>
      <c r="B10" s="19" t="s">
        <v>94</v>
      </c>
      <c r="C10" s="19" t="s">
        <v>95</v>
      </c>
      <c r="D10" s="19" t="s">
        <v>96</v>
      </c>
      <c r="E10" s="19" t="s">
        <v>72</v>
      </c>
    </row>
    <row r="11" customFormat="false" ht="15" hidden="false" customHeight="false" outlineLevel="0" collapsed="false">
      <c r="A11" s="19" t="s">
        <v>97</v>
      </c>
      <c r="B11" s="19" t="s">
        <v>98</v>
      </c>
      <c r="C11" s="19" t="s">
        <v>99</v>
      </c>
      <c r="D11" s="19" t="s">
        <v>100</v>
      </c>
      <c r="E11" s="19" t="s">
        <v>72</v>
      </c>
    </row>
    <row r="12" customFormat="false" ht="23.85" hidden="false" customHeight="false" outlineLevel="0" collapsed="false">
      <c r="A12" s="19" t="s">
        <v>40</v>
      </c>
      <c r="B12" s="19" t="s">
        <v>101</v>
      </c>
      <c r="C12" s="19" t="s">
        <v>102</v>
      </c>
      <c r="D12" s="19" t="s">
        <v>103</v>
      </c>
      <c r="E12" s="19" t="s">
        <v>104</v>
      </c>
    </row>
    <row r="13" customFormat="false" ht="23.85" hidden="false" customHeight="false" outlineLevel="0" collapsed="false">
      <c r="A13" s="19" t="s">
        <v>105</v>
      </c>
      <c r="B13" s="19" t="s">
        <v>106</v>
      </c>
      <c r="C13" s="19" t="s">
        <v>107</v>
      </c>
      <c r="D13" s="19" t="s">
        <v>108</v>
      </c>
      <c r="E13" s="19" t="s">
        <v>109</v>
      </c>
    </row>
    <row r="14" customFormat="false" ht="23.85" hidden="false" customHeight="false" outlineLevel="0" collapsed="false">
      <c r="A14" s="19" t="s">
        <v>110</v>
      </c>
      <c r="B14" s="19" t="s">
        <v>111</v>
      </c>
      <c r="C14" s="19" t="s">
        <v>112</v>
      </c>
      <c r="D14" s="19" t="s">
        <v>85</v>
      </c>
      <c r="E14" s="19" t="s">
        <v>72</v>
      </c>
    </row>
    <row r="15" customFormat="false" ht="23.85" hidden="false" customHeight="false" outlineLevel="0" collapsed="false">
      <c r="A15" s="19" t="s">
        <v>113</v>
      </c>
      <c r="B15" s="19" t="s">
        <v>114</v>
      </c>
      <c r="C15" s="19" t="s">
        <v>115</v>
      </c>
      <c r="D15" s="19" t="s">
        <v>85</v>
      </c>
      <c r="E15" s="19" t="s">
        <v>116</v>
      </c>
    </row>
    <row r="16" customFormat="false" ht="15" hidden="false" customHeight="false" outlineLevel="0" collapsed="false">
      <c r="A16" s="19" t="s">
        <v>117</v>
      </c>
      <c r="B16" s="19" t="s">
        <v>118</v>
      </c>
      <c r="C16" s="19" t="s">
        <v>119</v>
      </c>
      <c r="D16" s="19" t="s">
        <v>85</v>
      </c>
      <c r="E16" s="19" t="s">
        <v>120</v>
      </c>
    </row>
    <row r="17" customFormat="false" ht="15" hidden="false" customHeight="false" outlineLevel="0" collapsed="false">
      <c r="A17" s="19" t="s">
        <v>121</v>
      </c>
      <c r="B17" s="19" t="s">
        <v>122</v>
      </c>
      <c r="C17" s="19" t="s">
        <v>123</v>
      </c>
      <c r="D17" s="19" t="s">
        <v>85</v>
      </c>
      <c r="E17" s="19" t="s">
        <v>124</v>
      </c>
    </row>
    <row r="18" customFormat="false" ht="23.85" hidden="false" customHeight="false" outlineLevel="0" collapsed="false">
      <c r="A18" s="19" t="s">
        <v>125</v>
      </c>
      <c r="B18" s="19" t="s">
        <v>126</v>
      </c>
      <c r="C18" s="19" t="s">
        <v>127</v>
      </c>
      <c r="D18" s="19" t="s">
        <v>85</v>
      </c>
      <c r="E18" s="19" t="s">
        <v>85</v>
      </c>
    </row>
  </sheetData>
  <autoFilter ref="A3:E18"/>
  <mergeCells count="1"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0"/>
    <col collapsed="false" customWidth="true" hidden="false" outlineLevel="0" max="3" min="3" style="0" width="80"/>
    <col collapsed="false" customWidth="true" hidden="false" outlineLevel="0" max="4" min="4" style="0" width="70"/>
    <col collapsed="false" customWidth="true" hidden="false" outlineLevel="0" max="5" min="5" style="0" width="26"/>
    <col collapsed="false" customWidth="true" hidden="false" outlineLevel="0" max="6" min="6" style="0" width="12"/>
  </cols>
  <sheetData>
    <row r="1" customFormat="false" ht="16.15" hidden="false" customHeight="false" outlineLevel="0" collapsed="false">
      <c r="A1" s="16" t="s">
        <v>128</v>
      </c>
    </row>
    <row r="2" customFormat="false" ht="30" hidden="false" customHeight="true" outlineLevel="0" collapsed="false">
      <c r="A2" s="17" t="s">
        <v>129</v>
      </c>
      <c r="B2" s="17"/>
      <c r="C2" s="17"/>
      <c r="D2" s="17"/>
      <c r="E2" s="17"/>
      <c r="F2" s="17"/>
    </row>
    <row r="3" customFormat="false" ht="23.85" hidden="false" customHeight="false" outlineLevel="0" collapsed="false">
      <c r="A3" s="18" t="s">
        <v>130</v>
      </c>
      <c r="B3" s="18" t="s">
        <v>131</v>
      </c>
      <c r="C3" s="18" t="s">
        <v>132</v>
      </c>
      <c r="D3" s="18" t="s">
        <v>133</v>
      </c>
      <c r="E3" s="18" t="s">
        <v>134</v>
      </c>
      <c r="F3" s="18" t="s">
        <v>135</v>
      </c>
    </row>
    <row r="4" customFormat="false" ht="46.25" hidden="false" customHeight="false" outlineLevel="0" collapsed="false">
      <c r="A4" s="19" t="s">
        <v>136</v>
      </c>
      <c r="B4" s="19" t="s">
        <v>137</v>
      </c>
      <c r="C4" s="19" t="s">
        <v>138</v>
      </c>
      <c r="D4" s="19" t="s">
        <v>139</v>
      </c>
      <c r="E4" s="19" t="s">
        <v>140</v>
      </c>
      <c r="F4" s="19" t="s">
        <v>141</v>
      </c>
    </row>
    <row r="5" customFormat="false" ht="23.85" hidden="false" customHeight="false" outlineLevel="0" collapsed="false">
      <c r="A5" s="19" t="s">
        <v>142</v>
      </c>
      <c r="B5" s="19" t="s">
        <v>143</v>
      </c>
      <c r="C5" s="19" t="s">
        <v>144</v>
      </c>
      <c r="D5" s="19" t="s">
        <v>145</v>
      </c>
      <c r="E5" s="19" t="s">
        <v>146</v>
      </c>
      <c r="F5" s="19" t="s">
        <v>141</v>
      </c>
    </row>
    <row r="6" customFormat="false" ht="23.85" hidden="false" customHeight="false" outlineLevel="0" collapsed="false">
      <c r="A6" s="19" t="s">
        <v>147</v>
      </c>
      <c r="B6" s="19" t="s">
        <v>148</v>
      </c>
      <c r="C6" s="19" t="s">
        <v>149</v>
      </c>
      <c r="D6" s="19" t="s">
        <v>150</v>
      </c>
      <c r="E6" s="19" t="s">
        <v>151</v>
      </c>
      <c r="F6" s="19" t="s">
        <v>141</v>
      </c>
    </row>
    <row r="7" customFormat="false" ht="46.25" hidden="false" customHeight="false" outlineLevel="0" collapsed="false">
      <c r="A7" s="19" t="s">
        <v>152</v>
      </c>
      <c r="B7" s="19" t="s">
        <v>153</v>
      </c>
      <c r="C7" s="19" t="s">
        <v>154</v>
      </c>
      <c r="D7" s="19" t="s">
        <v>155</v>
      </c>
      <c r="E7" s="19" t="s">
        <v>156</v>
      </c>
      <c r="F7" s="19" t="s">
        <v>157</v>
      </c>
    </row>
    <row r="8" customFormat="false" ht="23.85" hidden="false" customHeight="false" outlineLevel="0" collapsed="false">
      <c r="A8" s="19" t="s">
        <v>158</v>
      </c>
      <c r="B8" s="19" t="s">
        <v>159</v>
      </c>
      <c r="C8" s="19" t="s">
        <v>160</v>
      </c>
      <c r="D8" s="19" t="s">
        <v>161</v>
      </c>
      <c r="E8" s="19" t="s">
        <v>151</v>
      </c>
      <c r="F8" s="19" t="s">
        <v>141</v>
      </c>
    </row>
    <row r="9" customFormat="false" ht="23.85" hidden="false" customHeight="false" outlineLevel="0" collapsed="false">
      <c r="A9" s="19" t="s">
        <v>162</v>
      </c>
      <c r="B9" s="19" t="s">
        <v>163</v>
      </c>
      <c r="C9" s="19" t="s">
        <v>164</v>
      </c>
      <c r="D9" s="19" t="s">
        <v>165</v>
      </c>
      <c r="E9" s="19" t="s">
        <v>151</v>
      </c>
      <c r="F9" s="19" t="s">
        <v>141</v>
      </c>
    </row>
    <row r="10" customFormat="false" ht="15" hidden="false" customHeight="false" outlineLevel="0" collapsed="false">
      <c r="A10" s="19" t="s">
        <v>166</v>
      </c>
      <c r="B10" s="19" t="s">
        <v>167</v>
      </c>
      <c r="C10" s="19" t="s">
        <v>168</v>
      </c>
      <c r="D10" s="19" t="s">
        <v>169</v>
      </c>
      <c r="E10" s="19" t="s">
        <v>151</v>
      </c>
      <c r="F10" s="19" t="s">
        <v>141</v>
      </c>
    </row>
    <row r="11" customFormat="false" ht="23.85" hidden="false" customHeight="false" outlineLevel="0" collapsed="false">
      <c r="A11" s="19" t="s">
        <v>170</v>
      </c>
      <c r="B11" s="19" t="s">
        <v>171</v>
      </c>
      <c r="C11" s="19" t="s">
        <v>172</v>
      </c>
      <c r="D11" s="19" t="s">
        <v>173</v>
      </c>
      <c r="E11" s="19" t="s">
        <v>151</v>
      </c>
      <c r="F11" s="19" t="s">
        <v>141</v>
      </c>
    </row>
    <row r="12" customFormat="false" ht="46.25" hidden="false" customHeight="false" outlineLevel="0" collapsed="false">
      <c r="A12" s="19" t="s">
        <v>174</v>
      </c>
      <c r="B12" s="19" t="s">
        <v>175</v>
      </c>
      <c r="C12" s="19" t="s">
        <v>176</v>
      </c>
      <c r="D12" s="19" t="s">
        <v>177</v>
      </c>
      <c r="E12" s="19" t="s">
        <v>178</v>
      </c>
      <c r="F12" s="19" t="s">
        <v>141</v>
      </c>
    </row>
    <row r="13" customFormat="false" ht="23.85" hidden="false" customHeight="false" outlineLevel="0" collapsed="false">
      <c r="A13" s="19" t="s">
        <v>179</v>
      </c>
      <c r="B13" s="19" t="s">
        <v>180</v>
      </c>
      <c r="C13" s="19" t="s">
        <v>181</v>
      </c>
      <c r="D13" s="19" t="s">
        <v>182</v>
      </c>
      <c r="E13" s="19" t="s">
        <v>178</v>
      </c>
      <c r="F13" s="19" t="s">
        <v>141</v>
      </c>
    </row>
    <row r="14" customFormat="false" ht="35.05" hidden="false" customHeight="false" outlineLevel="0" collapsed="false">
      <c r="A14" s="19" t="s">
        <v>183</v>
      </c>
      <c r="B14" s="19" t="s">
        <v>184</v>
      </c>
      <c r="C14" s="19" t="s">
        <v>185</v>
      </c>
      <c r="D14" s="19" t="s">
        <v>186</v>
      </c>
      <c r="E14" s="19" t="s">
        <v>178</v>
      </c>
      <c r="F14" s="19" t="s">
        <v>141</v>
      </c>
    </row>
    <row r="15" customFormat="false" ht="35.05" hidden="false" customHeight="false" outlineLevel="0" collapsed="false">
      <c r="A15" s="19" t="s">
        <v>187</v>
      </c>
      <c r="B15" s="19" t="s">
        <v>188</v>
      </c>
      <c r="C15" s="19" t="s">
        <v>189</v>
      </c>
      <c r="D15" s="19" t="s">
        <v>190</v>
      </c>
      <c r="E15" s="19" t="s">
        <v>178</v>
      </c>
      <c r="F15" s="19" t="s">
        <v>141</v>
      </c>
    </row>
  </sheetData>
  <autoFilter ref="A3:F15"/>
  <mergeCells count="1"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8"/>
    <col collapsed="false" customWidth="true" hidden="false" outlineLevel="0" max="3" min="3" style="0" width="55"/>
    <col collapsed="false" customWidth="true" hidden="false" outlineLevel="0" max="4" min="4" style="0" width="70"/>
    <col collapsed="false" customWidth="true" hidden="false" outlineLevel="0" max="5" min="5" style="0" width="22"/>
    <col collapsed="false" customWidth="true" hidden="false" outlineLevel="0" max="6" min="6" style="0" width="14"/>
  </cols>
  <sheetData>
    <row r="1" customFormat="false" ht="16.15" hidden="false" customHeight="false" outlineLevel="0" collapsed="false">
      <c r="A1" s="16" t="s">
        <v>191</v>
      </c>
    </row>
    <row r="2" customFormat="false" ht="30" hidden="false" customHeight="true" outlineLevel="0" collapsed="false">
      <c r="A2" s="17" t="s">
        <v>192</v>
      </c>
      <c r="B2" s="17"/>
      <c r="C2" s="17"/>
      <c r="D2" s="17"/>
      <c r="E2" s="17"/>
      <c r="F2" s="17"/>
    </row>
    <row r="3" customFormat="false" ht="15" hidden="false" customHeight="false" outlineLevel="0" collapsed="false">
      <c r="A3" s="18" t="s">
        <v>193</v>
      </c>
      <c r="B3" s="18" t="s">
        <v>194</v>
      </c>
      <c r="C3" s="18" t="s">
        <v>195</v>
      </c>
      <c r="D3" s="18" t="s">
        <v>196</v>
      </c>
      <c r="E3" s="18" t="s">
        <v>197</v>
      </c>
      <c r="F3" s="18" t="s">
        <v>134</v>
      </c>
    </row>
    <row r="4" customFormat="false" ht="15" hidden="false" customHeight="false" outlineLevel="0" collapsed="false">
      <c r="A4" s="19" t="n">
        <v>1</v>
      </c>
      <c r="B4" s="19" t="s">
        <v>198</v>
      </c>
      <c r="C4" s="19" t="s">
        <v>199</v>
      </c>
      <c r="D4" s="19" t="s">
        <v>200</v>
      </c>
      <c r="E4" s="19" t="s">
        <v>201</v>
      </c>
      <c r="F4" s="19" t="s">
        <v>202</v>
      </c>
    </row>
    <row r="5" customFormat="false" ht="46.25" hidden="false" customHeight="false" outlineLevel="0" collapsed="false">
      <c r="A5" s="19" t="n">
        <v>2</v>
      </c>
      <c r="B5" s="19" t="s">
        <v>203</v>
      </c>
      <c r="C5" s="19" t="s">
        <v>204</v>
      </c>
      <c r="D5" s="19" t="s">
        <v>205</v>
      </c>
      <c r="E5" s="19" t="s">
        <v>206</v>
      </c>
      <c r="F5" s="19" t="s">
        <v>202</v>
      </c>
    </row>
    <row r="6" customFormat="false" ht="23.85" hidden="false" customHeight="false" outlineLevel="0" collapsed="false">
      <c r="A6" s="19" t="n">
        <v>3</v>
      </c>
      <c r="B6" s="19" t="s">
        <v>207</v>
      </c>
      <c r="C6" s="19" t="s">
        <v>208</v>
      </c>
      <c r="D6" s="19" t="s">
        <v>209</v>
      </c>
      <c r="E6" s="19" t="s">
        <v>201</v>
      </c>
      <c r="F6" s="19" t="s">
        <v>202</v>
      </c>
    </row>
    <row r="7" customFormat="false" ht="23.85" hidden="false" customHeight="false" outlineLevel="0" collapsed="false">
      <c r="A7" s="19" t="n">
        <v>4</v>
      </c>
      <c r="B7" s="19" t="s">
        <v>210</v>
      </c>
      <c r="C7" s="19" t="s">
        <v>211</v>
      </c>
      <c r="D7" s="19" t="s">
        <v>212</v>
      </c>
      <c r="E7" s="19" t="s">
        <v>213</v>
      </c>
      <c r="F7" s="19" t="s">
        <v>202</v>
      </c>
    </row>
    <row r="8" customFormat="false" ht="23.85" hidden="false" customHeight="false" outlineLevel="0" collapsed="false">
      <c r="A8" s="19" t="n">
        <v>5</v>
      </c>
      <c r="B8" s="19" t="s">
        <v>214</v>
      </c>
      <c r="C8" s="19" t="s">
        <v>215</v>
      </c>
      <c r="D8" s="19" t="s">
        <v>216</v>
      </c>
      <c r="E8" s="19" t="s">
        <v>217</v>
      </c>
      <c r="F8" s="19" t="s">
        <v>202</v>
      </c>
    </row>
    <row r="9" customFormat="false" ht="23.85" hidden="false" customHeight="false" outlineLevel="0" collapsed="false">
      <c r="A9" s="19" t="n">
        <v>6</v>
      </c>
      <c r="B9" s="19" t="s">
        <v>218</v>
      </c>
      <c r="C9" s="19" t="s">
        <v>219</v>
      </c>
      <c r="D9" s="19" t="s">
        <v>220</v>
      </c>
      <c r="E9" s="19" t="s">
        <v>221</v>
      </c>
      <c r="F9" s="19" t="s">
        <v>202</v>
      </c>
    </row>
    <row r="10" customFormat="false" ht="23.85" hidden="false" customHeight="false" outlineLevel="0" collapsed="false">
      <c r="A10" s="19" t="n">
        <v>7</v>
      </c>
      <c r="B10" s="19" t="s">
        <v>222</v>
      </c>
      <c r="C10" s="19" t="s">
        <v>223</v>
      </c>
      <c r="D10" s="19" t="s">
        <v>224</v>
      </c>
      <c r="E10" s="19" t="s">
        <v>225</v>
      </c>
      <c r="F10" s="19" t="s">
        <v>202</v>
      </c>
    </row>
    <row r="11" customFormat="false" ht="23.85" hidden="false" customHeight="false" outlineLevel="0" collapsed="false">
      <c r="A11" s="19" t="n">
        <v>8</v>
      </c>
      <c r="B11" s="19" t="s">
        <v>226</v>
      </c>
      <c r="C11" s="19" t="s">
        <v>227</v>
      </c>
      <c r="D11" s="19" t="s">
        <v>228</v>
      </c>
      <c r="E11" s="19" t="s">
        <v>225</v>
      </c>
      <c r="F11" s="19" t="s">
        <v>202</v>
      </c>
    </row>
    <row r="12" customFormat="false" ht="23.85" hidden="false" customHeight="false" outlineLevel="0" collapsed="false">
      <c r="A12" s="19" t="n">
        <v>9</v>
      </c>
      <c r="B12" s="19" t="s">
        <v>229</v>
      </c>
      <c r="C12" s="19" t="s">
        <v>230</v>
      </c>
      <c r="D12" s="19" t="s">
        <v>231</v>
      </c>
      <c r="E12" s="19" t="s">
        <v>221</v>
      </c>
      <c r="F12" s="19" t="s">
        <v>202</v>
      </c>
    </row>
    <row r="13" customFormat="false" ht="23.85" hidden="false" customHeight="false" outlineLevel="0" collapsed="false">
      <c r="A13" s="19" t="n">
        <v>10</v>
      </c>
      <c r="B13" s="19" t="s">
        <v>232</v>
      </c>
      <c r="C13" s="19" t="s">
        <v>233</v>
      </c>
      <c r="D13" s="19" t="s">
        <v>234</v>
      </c>
      <c r="E13" s="19" t="s">
        <v>221</v>
      </c>
      <c r="F13" s="19" t="s">
        <v>202</v>
      </c>
    </row>
    <row r="14" customFormat="false" ht="23.85" hidden="false" customHeight="false" outlineLevel="0" collapsed="false">
      <c r="A14" s="19" t="n">
        <v>11</v>
      </c>
      <c r="B14" s="19" t="s">
        <v>235</v>
      </c>
      <c r="C14" s="19" t="s">
        <v>236</v>
      </c>
      <c r="D14" s="19" t="s">
        <v>237</v>
      </c>
      <c r="E14" s="19" t="s">
        <v>238</v>
      </c>
      <c r="F14" s="19" t="s">
        <v>202</v>
      </c>
    </row>
    <row r="15" customFormat="false" ht="23.85" hidden="false" customHeight="false" outlineLevel="0" collapsed="false">
      <c r="A15" s="19" t="n">
        <v>12</v>
      </c>
      <c r="B15" s="19" t="s">
        <v>239</v>
      </c>
      <c r="C15" s="19" t="s">
        <v>240</v>
      </c>
      <c r="D15" s="19" t="s">
        <v>241</v>
      </c>
      <c r="E15" s="19" t="s">
        <v>238</v>
      </c>
      <c r="F15" s="19" t="s">
        <v>202</v>
      </c>
    </row>
    <row r="16" customFormat="false" ht="15" hidden="false" customHeight="false" outlineLevel="0" collapsed="false">
      <c r="A16" s="19" t="n">
        <v>13</v>
      </c>
      <c r="B16" s="19" t="s">
        <v>242</v>
      </c>
      <c r="C16" s="19" t="s">
        <v>243</v>
      </c>
      <c r="D16" s="19" t="s">
        <v>244</v>
      </c>
      <c r="E16" s="19" t="s">
        <v>245</v>
      </c>
      <c r="F16" s="19" t="s">
        <v>202</v>
      </c>
    </row>
    <row r="17" customFormat="false" ht="23.85" hidden="false" customHeight="false" outlineLevel="0" collapsed="false">
      <c r="A17" s="19" t="n">
        <v>14</v>
      </c>
      <c r="B17" s="19" t="s">
        <v>246</v>
      </c>
      <c r="C17" s="19" t="s">
        <v>247</v>
      </c>
      <c r="D17" s="19" t="s">
        <v>248</v>
      </c>
      <c r="E17" s="19" t="s">
        <v>221</v>
      </c>
      <c r="F17" s="19" t="s">
        <v>202</v>
      </c>
    </row>
    <row r="18" customFormat="false" ht="23.85" hidden="false" customHeight="false" outlineLevel="0" collapsed="false">
      <c r="A18" s="19" t="n">
        <v>15</v>
      </c>
      <c r="B18" s="19" t="s">
        <v>249</v>
      </c>
      <c r="C18" s="19" t="s">
        <v>250</v>
      </c>
      <c r="D18" s="19" t="s">
        <v>251</v>
      </c>
      <c r="E18" s="19" t="s">
        <v>252</v>
      </c>
      <c r="F18" s="19" t="s">
        <v>202</v>
      </c>
    </row>
    <row r="19" customFormat="false" ht="15" hidden="false" customHeight="false" outlineLevel="0" collapsed="false">
      <c r="A19" s="19" t="n">
        <v>16</v>
      </c>
      <c r="B19" s="19" t="s">
        <v>253</v>
      </c>
      <c r="C19" s="19" t="s">
        <v>254</v>
      </c>
      <c r="D19" s="19" t="s">
        <v>85</v>
      </c>
      <c r="E19" s="19" t="s">
        <v>255</v>
      </c>
      <c r="F19" s="19" t="s">
        <v>256</v>
      </c>
    </row>
  </sheetData>
  <autoFilter ref="A3:F19"/>
  <mergeCells count="1">
    <mergeCell ref="A2:F2"/>
  </mergeCells>
  <dataValidations count="1">
    <dataValidation allowBlank="false" errorStyle="stop" operator="between" showDropDown="false" showErrorMessage="false" showInputMessage="false" sqref="F4:F19" type="list">
      <formula1>"Pendiente,Entregado,No aplica"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80"/>
    <col collapsed="false" customWidth="true" hidden="false" outlineLevel="0" max="3" min="3" style="0" width="70"/>
  </cols>
  <sheetData>
    <row r="1" customFormat="false" ht="16.15" hidden="false" customHeight="false" outlineLevel="0" collapsed="false">
      <c r="A1" s="16" t="s">
        <v>257</v>
      </c>
    </row>
    <row r="2" customFormat="false" ht="15" hidden="false" customHeight="false" outlineLevel="0" collapsed="false">
      <c r="A2" s="18" t="s">
        <v>258</v>
      </c>
      <c r="B2" s="18" t="s">
        <v>259</v>
      </c>
      <c r="C2" s="18" t="s">
        <v>260</v>
      </c>
    </row>
    <row r="3" customFormat="false" ht="15" hidden="false" customHeight="false" outlineLevel="0" collapsed="false">
      <c r="A3" s="19" t="s">
        <v>261</v>
      </c>
      <c r="B3" s="19" t="s">
        <v>262</v>
      </c>
      <c r="C3" s="19" t="s">
        <v>263</v>
      </c>
    </row>
    <row r="4" customFormat="false" ht="15" hidden="false" customHeight="false" outlineLevel="0" collapsed="false">
      <c r="A4" s="19" t="s">
        <v>264</v>
      </c>
      <c r="B4" s="19" t="s">
        <v>265</v>
      </c>
      <c r="C4" s="19" t="s">
        <v>266</v>
      </c>
    </row>
    <row r="5" customFormat="false" ht="15" hidden="false" customHeight="false" outlineLevel="0" collapsed="false">
      <c r="A5" s="19" t="s">
        <v>267</v>
      </c>
      <c r="B5" s="19" t="s">
        <v>268</v>
      </c>
      <c r="C5" s="19" t="s">
        <v>269</v>
      </c>
    </row>
    <row r="6" customFormat="false" ht="15" hidden="false" customHeight="false" outlineLevel="0" collapsed="false">
      <c r="A6" s="19" t="s">
        <v>270</v>
      </c>
      <c r="B6" s="19" t="s">
        <v>271</v>
      </c>
      <c r="C6" s="19" t="s">
        <v>272</v>
      </c>
    </row>
    <row r="7" customFormat="false" ht="15" hidden="false" customHeight="false" outlineLevel="0" collapsed="false">
      <c r="A7" s="19" t="s">
        <v>273</v>
      </c>
      <c r="B7" s="19" t="s">
        <v>274</v>
      </c>
      <c r="C7" s="19" t="s">
        <v>275</v>
      </c>
    </row>
    <row r="8" customFormat="false" ht="15" hidden="false" customHeight="false" outlineLevel="0" collapsed="false">
      <c r="A8" s="19" t="s">
        <v>276</v>
      </c>
      <c r="B8" s="19" t="s">
        <v>277</v>
      </c>
      <c r="C8" s="19" t="s">
        <v>278</v>
      </c>
    </row>
    <row r="9" customFormat="false" ht="15" hidden="false" customHeight="false" outlineLevel="0" collapsed="false">
      <c r="A9" s="19" t="s">
        <v>279</v>
      </c>
      <c r="B9" s="19" t="s">
        <v>280</v>
      </c>
      <c r="C9" s="19" t="s">
        <v>281</v>
      </c>
    </row>
    <row r="10" customFormat="false" ht="15" hidden="false" customHeight="false" outlineLevel="0" collapsed="false">
      <c r="A10" s="19" t="s">
        <v>282</v>
      </c>
      <c r="B10" s="19" t="s">
        <v>283</v>
      </c>
      <c r="C10" s="19" t="s">
        <v>284</v>
      </c>
    </row>
    <row r="11" customFormat="false" ht="15" hidden="false" customHeight="false" outlineLevel="0" collapsed="false">
      <c r="A11" s="19" t="s">
        <v>285</v>
      </c>
      <c r="B11" s="19" t="s">
        <v>286</v>
      </c>
      <c r="C11" s="19"/>
    </row>
    <row r="12" customFormat="false" ht="15" hidden="false" customHeight="false" outlineLevel="0" collapsed="false">
      <c r="A12" s="19" t="s">
        <v>287</v>
      </c>
      <c r="B12" s="19" t="s">
        <v>288</v>
      </c>
      <c r="C12" s="19" t="s">
        <v>289</v>
      </c>
    </row>
    <row r="13" customFormat="false" ht="15" hidden="false" customHeight="false" outlineLevel="0" collapsed="false">
      <c r="A13" s="19" t="s">
        <v>290</v>
      </c>
      <c r="B13" s="19" t="s">
        <v>291</v>
      </c>
      <c r="C13" s="19" t="s">
        <v>292</v>
      </c>
    </row>
    <row r="14" customFormat="false" ht="15" hidden="false" customHeight="false" outlineLevel="0" collapsed="false">
      <c r="A14" s="19" t="s">
        <v>293</v>
      </c>
      <c r="B14" s="19" t="s">
        <v>294</v>
      </c>
      <c r="C14" s="19" t="s">
        <v>295</v>
      </c>
    </row>
    <row r="15" customFormat="false" ht="15" hidden="false" customHeight="false" outlineLevel="0" collapsed="false">
      <c r="A15" s="19" t="s">
        <v>296</v>
      </c>
      <c r="B15" s="19" t="s">
        <v>297</v>
      </c>
      <c r="C15" s="19" t="s">
        <v>298</v>
      </c>
    </row>
    <row r="16" customFormat="false" ht="15" hidden="false" customHeight="false" outlineLevel="0" collapsed="false">
      <c r="A16" s="19" t="s">
        <v>299</v>
      </c>
      <c r="B16" s="19" t="s">
        <v>300</v>
      </c>
      <c r="C16" s="19" t="s">
        <v>301</v>
      </c>
    </row>
    <row r="17" customFormat="false" ht="15" hidden="false" customHeight="false" outlineLevel="0" collapsed="false">
      <c r="A17" s="19" t="s">
        <v>302</v>
      </c>
      <c r="B17" s="19" t="s">
        <v>303</v>
      </c>
      <c r="C17" s="19" t="s">
        <v>304</v>
      </c>
    </row>
    <row r="18" customFormat="false" ht="15" hidden="false" customHeight="false" outlineLevel="0" collapsed="false">
      <c r="A18" s="19" t="s">
        <v>305</v>
      </c>
      <c r="B18" s="19" t="s">
        <v>306</v>
      </c>
      <c r="C18" s="19" t="s">
        <v>307</v>
      </c>
    </row>
    <row r="19" customFormat="false" ht="15" hidden="false" customHeight="false" outlineLevel="0" collapsed="false">
      <c r="A19" s="19" t="s">
        <v>308</v>
      </c>
      <c r="B19" s="19" t="s">
        <v>309</v>
      </c>
      <c r="C19" s="19" t="s">
        <v>310</v>
      </c>
    </row>
    <row r="20" customFormat="false" ht="15" hidden="false" customHeight="false" outlineLevel="0" collapsed="false">
      <c r="A20" s="19" t="s">
        <v>311</v>
      </c>
      <c r="B20" s="19" t="s">
        <v>312</v>
      </c>
      <c r="C20" s="19" t="s">
        <v>313</v>
      </c>
    </row>
    <row r="21" customFormat="false" ht="23.85" hidden="false" customHeight="false" outlineLevel="0" collapsed="false">
      <c r="A21" s="19" t="s">
        <v>314</v>
      </c>
      <c r="B21" s="19" t="s">
        <v>315</v>
      </c>
      <c r="C21" s="19" t="s">
        <v>316</v>
      </c>
    </row>
  </sheetData>
  <autoFilter ref="A2:C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0"/>
    <col collapsed="false" customWidth="true" hidden="false" outlineLevel="0" max="3" min="3" style="0" width="70"/>
    <col collapsed="false" customWidth="true" hidden="false" outlineLevel="0" max="4" min="4" style="0" width="80"/>
  </cols>
  <sheetData>
    <row r="1" customFormat="false" ht="16.15" hidden="false" customHeight="false" outlineLevel="0" collapsed="false">
      <c r="A1" s="16" t="s">
        <v>317</v>
      </c>
    </row>
    <row r="2" customFormat="false" ht="30" hidden="false" customHeight="true" outlineLevel="0" collapsed="false">
      <c r="A2" s="17" t="s">
        <v>318</v>
      </c>
      <c r="B2" s="17"/>
      <c r="C2" s="17"/>
      <c r="D2" s="17"/>
    </row>
    <row r="3" customFormat="false" ht="15" hidden="false" customHeight="false" outlineLevel="0" collapsed="false">
      <c r="A3" s="18" t="s">
        <v>319</v>
      </c>
      <c r="B3" s="18" t="s">
        <v>320</v>
      </c>
      <c r="C3" s="18" t="s">
        <v>321</v>
      </c>
      <c r="D3" s="18" t="s">
        <v>322</v>
      </c>
    </row>
    <row r="4" customFormat="false" ht="35.05" hidden="false" customHeight="false" outlineLevel="0" collapsed="false">
      <c r="A4" s="20" t="s">
        <v>323</v>
      </c>
      <c r="B4" s="20"/>
      <c r="C4" s="20"/>
      <c r="D4" s="20"/>
    </row>
    <row r="5" customFormat="false" ht="15" hidden="false" customHeight="false" outlineLevel="0" collapsed="false">
      <c r="A5" s="19" t="s">
        <v>324</v>
      </c>
      <c r="B5" s="19" t="s">
        <v>325</v>
      </c>
      <c r="C5" s="19" t="s">
        <v>326</v>
      </c>
      <c r="D5" s="19" t="s">
        <v>327</v>
      </c>
    </row>
    <row r="6" customFormat="false" ht="15" hidden="false" customHeight="false" outlineLevel="0" collapsed="false">
      <c r="A6" s="19" t="s">
        <v>324</v>
      </c>
      <c r="B6" s="19" t="s">
        <v>328</v>
      </c>
      <c r="C6" s="19" t="s">
        <v>329</v>
      </c>
      <c r="D6" s="19"/>
    </row>
    <row r="7" customFormat="false" ht="15" hidden="false" customHeight="false" outlineLevel="0" collapsed="false">
      <c r="A7" s="19" t="s">
        <v>324</v>
      </c>
      <c r="B7" s="19" t="s">
        <v>330</v>
      </c>
      <c r="C7" s="19" t="s">
        <v>331</v>
      </c>
      <c r="D7" s="19"/>
    </row>
    <row r="8" customFormat="false" ht="15" hidden="false" customHeight="false" outlineLevel="0" collapsed="false">
      <c r="A8" s="19" t="s">
        <v>324</v>
      </c>
      <c r="B8" s="19" t="s">
        <v>332</v>
      </c>
      <c r="C8" s="19" t="s">
        <v>333</v>
      </c>
      <c r="D8" s="19"/>
    </row>
    <row r="9" customFormat="false" ht="15" hidden="false" customHeight="false" outlineLevel="0" collapsed="false">
      <c r="A9" s="19" t="s">
        <v>324</v>
      </c>
      <c r="B9" s="19" t="s">
        <v>334</v>
      </c>
      <c r="C9" s="19" t="s">
        <v>335</v>
      </c>
      <c r="D9" s="19"/>
    </row>
    <row r="10" customFormat="false" ht="35.05" hidden="false" customHeight="false" outlineLevel="0" collapsed="false">
      <c r="A10" s="20" t="s">
        <v>336</v>
      </c>
      <c r="B10" s="20"/>
      <c r="C10" s="20"/>
      <c r="D10" s="20"/>
    </row>
    <row r="11" customFormat="false" ht="15" hidden="false" customHeight="false" outlineLevel="0" collapsed="false">
      <c r="A11" s="19" t="s">
        <v>337</v>
      </c>
      <c r="B11" s="19" t="s">
        <v>325</v>
      </c>
      <c r="C11" s="19" t="s">
        <v>326</v>
      </c>
      <c r="D11" s="19" t="s">
        <v>327</v>
      </c>
    </row>
    <row r="12" customFormat="false" ht="15" hidden="false" customHeight="false" outlineLevel="0" collapsed="false">
      <c r="A12" s="19" t="s">
        <v>337</v>
      </c>
      <c r="B12" s="19" t="s">
        <v>328</v>
      </c>
      <c r="C12" s="19" t="s">
        <v>338</v>
      </c>
      <c r="D12" s="19"/>
    </row>
    <row r="13" customFormat="false" ht="15" hidden="false" customHeight="false" outlineLevel="0" collapsed="false">
      <c r="A13" s="19" t="s">
        <v>337</v>
      </c>
      <c r="B13" s="19" t="s">
        <v>339</v>
      </c>
      <c r="C13" s="19" t="s">
        <v>340</v>
      </c>
      <c r="D13" s="19"/>
    </row>
    <row r="14" customFormat="false" ht="15" hidden="false" customHeight="false" outlineLevel="0" collapsed="false">
      <c r="A14" s="19" t="s">
        <v>337</v>
      </c>
      <c r="B14" s="19" t="s">
        <v>341</v>
      </c>
      <c r="C14" s="19" t="s">
        <v>342</v>
      </c>
      <c r="D14" s="19" t="s">
        <v>343</v>
      </c>
    </row>
    <row r="15" customFormat="false" ht="15" hidden="false" customHeight="false" outlineLevel="0" collapsed="false">
      <c r="A15" s="19" t="s">
        <v>337</v>
      </c>
      <c r="B15" s="19" t="s">
        <v>344</v>
      </c>
      <c r="C15" s="19" t="s">
        <v>333</v>
      </c>
      <c r="D15" s="19"/>
    </row>
    <row r="16" customFormat="false" ht="15" hidden="false" customHeight="false" outlineLevel="0" collapsed="false">
      <c r="A16" s="19" t="s">
        <v>337</v>
      </c>
      <c r="B16" s="19" t="s">
        <v>345</v>
      </c>
      <c r="C16" s="19" t="s">
        <v>346</v>
      </c>
      <c r="D16" s="19"/>
    </row>
    <row r="17" customFormat="false" ht="15" hidden="false" customHeight="false" outlineLevel="0" collapsed="false">
      <c r="A17" s="19" t="s">
        <v>337</v>
      </c>
      <c r="B17" s="19" t="s">
        <v>334</v>
      </c>
      <c r="C17" s="19" t="s">
        <v>335</v>
      </c>
      <c r="D17" s="19"/>
    </row>
    <row r="18" customFormat="false" ht="15" hidden="false" customHeight="false" outlineLevel="0" collapsed="false">
      <c r="A18" s="19" t="s">
        <v>337</v>
      </c>
      <c r="B18" s="19" t="s">
        <v>334</v>
      </c>
      <c r="C18" s="19" t="s">
        <v>347</v>
      </c>
      <c r="D18" s="19"/>
    </row>
    <row r="19" customFormat="false" ht="46.25" hidden="false" customHeight="false" outlineLevel="0" collapsed="false">
      <c r="A19" s="20" t="s">
        <v>348</v>
      </c>
      <c r="B19" s="20"/>
      <c r="C19" s="20"/>
      <c r="D19" s="20"/>
    </row>
    <row r="20" customFormat="false" ht="15" hidden="false" customHeight="false" outlineLevel="0" collapsed="false">
      <c r="A20" s="19" t="s">
        <v>349</v>
      </c>
      <c r="B20" s="19" t="s">
        <v>325</v>
      </c>
      <c r="C20" s="19" t="s">
        <v>326</v>
      </c>
      <c r="D20" s="19" t="s">
        <v>327</v>
      </c>
    </row>
    <row r="21" customFormat="false" ht="15" hidden="false" customHeight="false" outlineLevel="0" collapsed="false">
      <c r="A21" s="19" t="s">
        <v>349</v>
      </c>
      <c r="B21" s="19" t="s">
        <v>350</v>
      </c>
      <c r="C21" s="19" t="s">
        <v>326</v>
      </c>
      <c r="D21" s="19"/>
    </row>
    <row r="22" customFormat="false" ht="23.85" hidden="false" customHeight="false" outlineLevel="0" collapsed="false">
      <c r="A22" s="19" t="s">
        <v>349</v>
      </c>
      <c r="B22" s="19" t="s">
        <v>351</v>
      </c>
      <c r="C22" s="19" t="s">
        <v>352</v>
      </c>
      <c r="D22" s="19"/>
    </row>
    <row r="23" customFormat="false" ht="15" hidden="false" customHeight="false" outlineLevel="0" collapsed="false">
      <c r="A23" s="19" t="s">
        <v>349</v>
      </c>
      <c r="B23" s="19" t="s">
        <v>353</v>
      </c>
      <c r="C23" s="19" t="s">
        <v>354</v>
      </c>
      <c r="D23" s="19" t="s">
        <v>355</v>
      </c>
    </row>
    <row r="24" customFormat="false" ht="23.85" hidden="false" customHeight="false" outlineLevel="0" collapsed="false">
      <c r="A24" s="19" t="s">
        <v>349</v>
      </c>
      <c r="B24" s="19" t="s">
        <v>356</v>
      </c>
      <c r="C24" s="19" t="s">
        <v>357</v>
      </c>
      <c r="D24" s="19" t="s">
        <v>358</v>
      </c>
    </row>
    <row r="25" customFormat="false" ht="15" hidden="false" customHeight="false" outlineLevel="0" collapsed="false">
      <c r="A25" s="19" t="s">
        <v>349</v>
      </c>
      <c r="B25" s="19" t="s">
        <v>334</v>
      </c>
      <c r="C25" s="19" t="s">
        <v>335</v>
      </c>
      <c r="D25" s="19"/>
    </row>
    <row r="26" customFormat="false" ht="15" hidden="false" customHeight="false" outlineLevel="0" collapsed="false">
      <c r="A26" s="19" t="s">
        <v>349</v>
      </c>
      <c r="B26" s="19" t="s">
        <v>334</v>
      </c>
      <c r="C26" s="19" t="s">
        <v>359</v>
      </c>
      <c r="D26" s="19"/>
    </row>
    <row r="27" customFormat="false" ht="15" hidden="false" customHeight="false" outlineLevel="0" collapsed="false">
      <c r="A27" s="19" t="s">
        <v>349</v>
      </c>
      <c r="B27" s="19" t="s">
        <v>334</v>
      </c>
      <c r="C27" s="19" t="s">
        <v>360</v>
      </c>
      <c r="D27" s="19"/>
    </row>
    <row r="28" customFormat="false" ht="15" hidden="false" customHeight="false" outlineLevel="0" collapsed="false">
      <c r="A28" s="19" t="s">
        <v>349</v>
      </c>
      <c r="B28" s="19" t="s">
        <v>334</v>
      </c>
      <c r="C28" s="19" t="s">
        <v>361</v>
      </c>
      <c r="D28" s="19"/>
    </row>
    <row r="29" customFormat="false" ht="46.25" hidden="false" customHeight="false" outlineLevel="0" collapsed="false">
      <c r="A29" s="20" t="s">
        <v>362</v>
      </c>
      <c r="B29" s="20"/>
      <c r="C29" s="20"/>
      <c r="D29" s="20"/>
    </row>
    <row r="30" customFormat="false" ht="15" hidden="false" customHeight="false" outlineLevel="0" collapsed="false">
      <c r="A30" s="19" t="s">
        <v>363</v>
      </c>
      <c r="B30" s="19" t="s">
        <v>325</v>
      </c>
      <c r="C30" s="19" t="s">
        <v>364</v>
      </c>
      <c r="D30" s="19" t="s">
        <v>365</v>
      </c>
    </row>
    <row r="31" customFormat="false" ht="15" hidden="false" customHeight="false" outlineLevel="0" collapsed="false">
      <c r="A31" s="19" t="s">
        <v>363</v>
      </c>
      <c r="B31" s="19" t="s">
        <v>350</v>
      </c>
      <c r="C31" s="19" t="s">
        <v>326</v>
      </c>
      <c r="D31" s="19"/>
    </row>
    <row r="32" customFormat="false" ht="15" hidden="false" customHeight="false" outlineLevel="0" collapsed="false">
      <c r="A32" s="19" t="s">
        <v>363</v>
      </c>
      <c r="B32" s="19" t="s">
        <v>345</v>
      </c>
      <c r="C32" s="19" t="s">
        <v>346</v>
      </c>
      <c r="D32" s="19"/>
    </row>
    <row r="33" customFormat="false" ht="15" hidden="false" customHeight="false" outlineLevel="0" collapsed="false">
      <c r="A33" s="19" t="s">
        <v>363</v>
      </c>
      <c r="B33" s="19" t="s">
        <v>366</v>
      </c>
      <c r="C33" s="19" t="s">
        <v>367</v>
      </c>
      <c r="D33" s="19"/>
    </row>
    <row r="34" customFormat="false" ht="15" hidden="false" customHeight="false" outlineLevel="0" collapsed="false">
      <c r="A34" s="19" t="s">
        <v>363</v>
      </c>
      <c r="B34" s="19" t="s">
        <v>368</v>
      </c>
      <c r="C34" s="19" t="s">
        <v>346</v>
      </c>
      <c r="D34" s="19" t="s">
        <v>369</v>
      </c>
    </row>
    <row r="35" customFormat="false" ht="15" hidden="false" customHeight="false" outlineLevel="0" collapsed="false">
      <c r="A35" s="19" t="s">
        <v>363</v>
      </c>
      <c r="B35" s="19" t="s">
        <v>334</v>
      </c>
      <c r="C35" s="19" t="s">
        <v>335</v>
      </c>
      <c r="D35" s="19"/>
    </row>
    <row r="36" customFormat="false" ht="15" hidden="false" customHeight="false" outlineLevel="0" collapsed="false">
      <c r="A36" s="19" t="s">
        <v>363</v>
      </c>
      <c r="B36" s="19" t="s">
        <v>334</v>
      </c>
      <c r="C36" s="19" t="s">
        <v>360</v>
      </c>
      <c r="D36" s="19"/>
    </row>
    <row r="37" customFormat="false" ht="15" hidden="false" customHeight="false" outlineLevel="0" collapsed="false">
      <c r="A37" s="20" t="s">
        <v>370</v>
      </c>
      <c r="B37" s="20"/>
      <c r="C37" s="20"/>
      <c r="D37" s="20"/>
    </row>
    <row r="38" customFormat="false" ht="15" hidden="false" customHeight="false" outlineLevel="0" collapsed="false">
      <c r="A38" s="19" t="s">
        <v>371</v>
      </c>
      <c r="B38" s="19" t="s">
        <v>325</v>
      </c>
      <c r="C38" s="19" t="s">
        <v>326</v>
      </c>
      <c r="D38" s="19" t="s">
        <v>327</v>
      </c>
    </row>
    <row r="39" customFormat="false" ht="15" hidden="false" customHeight="false" outlineLevel="0" collapsed="false">
      <c r="A39" s="19" t="s">
        <v>371</v>
      </c>
      <c r="B39" s="19" t="s">
        <v>328</v>
      </c>
      <c r="C39" s="19" t="s">
        <v>338</v>
      </c>
      <c r="D39" s="19"/>
    </row>
    <row r="40" customFormat="false" ht="15" hidden="false" customHeight="false" outlineLevel="0" collapsed="false">
      <c r="A40" s="19" t="s">
        <v>371</v>
      </c>
      <c r="B40" s="19" t="s">
        <v>334</v>
      </c>
      <c r="C40" s="19" t="s">
        <v>335</v>
      </c>
      <c r="D40" s="19"/>
    </row>
    <row r="41" customFormat="false" ht="23.85" hidden="false" customHeight="false" outlineLevel="0" collapsed="false">
      <c r="A41" s="20" t="s">
        <v>372</v>
      </c>
      <c r="B41" s="20"/>
      <c r="C41" s="20"/>
      <c r="D41" s="20"/>
    </row>
    <row r="42" customFormat="false" ht="15" hidden="false" customHeight="false" outlineLevel="0" collapsed="false">
      <c r="A42" s="19" t="s">
        <v>373</v>
      </c>
      <c r="B42" s="19" t="s">
        <v>325</v>
      </c>
      <c r="C42" s="19" t="s">
        <v>326</v>
      </c>
      <c r="D42" s="19" t="s">
        <v>327</v>
      </c>
    </row>
    <row r="43" customFormat="false" ht="15" hidden="false" customHeight="false" outlineLevel="0" collapsed="false">
      <c r="A43" s="19" t="s">
        <v>373</v>
      </c>
      <c r="B43" s="19" t="s">
        <v>374</v>
      </c>
      <c r="C43" s="19" t="s">
        <v>326</v>
      </c>
      <c r="D43" s="19"/>
    </row>
    <row r="44" customFormat="false" ht="15" hidden="false" customHeight="false" outlineLevel="0" collapsed="false">
      <c r="A44" s="19" t="s">
        <v>373</v>
      </c>
      <c r="B44" s="19" t="s">
        <v>375</v>
      </c>
      <c r="C44" s="19" t="s">
        <v>376</v>
      </c>
      <c r="D44" s="19" t="s">
        <v>377</v>
      </c>
    </row>
    <row r="45" customFormat="false" ht="15" hidden="false" customHeight="false" outlineLevel="0" collapsed="false">
      <c r="A45" s="19" t="s">
        <v>373</v>
      </c>
      <c r="B45" s="19" t="s">
        <v>328</v>
      </c>
      <c r="C45" s="19" t="s">
        <v>329</v>
      </c>
      <c r="D45" s="19"/>
    </row>
    <row r="46" customFormat="false" ht="15" hidden="false" customHeight="false" outlineLevel="0" collapsed="false">
      <c r="A46" s="19" t="s">
        <v>373</v>
      </c>
      <c r="B46" s="19" t="s">
        <v>353</v>
      </c>
      <c r="C46" s="19" t="s">
        <v>354</v>
      </c>
      <c r="D46" s="19" t="s">
        <v>378</v>
      </c>
    </row>
    <row r="47" customFormat="false" ht="15" hidden="false" customHeight="false" outlineLevel="0" collapsed="false">
      <c r="A47" s="19" t="s">
        <v>373</v>
      </c>
      <c r="B47" s="19" t="s">
        <v>379</v>
      </c>
      <c r="C47" s="19" t="s">
        <v>380</v>
      </c>
      <c r="D47" s="19"/>
    </row>
    <row r="48" customFormat="false" ht="15" hidden="false" customHeight="false" outlineLevel="0" collapsed="false">
      <c r="A48" s="19" t="s">
        <v>373</v>
      </c>
      <c r="B48" s="19" t="s">
        <v>334</v>
      </c>
      <c r="C48" s="19" t="s">
        <v>335</v>
      </c>
      <c r="D48" s="19"/>
    </row>
    <row r="49" customFormat="false" ht="15" hidden="false" customHeight="false" outlineLevel="0" collapsed="false">
      <c r="A49" s="19" t="s">
        <v>373</v>
      </c>
      <c r="B49" s="19" t="s">
        <v>334</v>
      </c>
      <c r="C49" s="19" t="s">
        <v>381</v>
      </c>
      <c r="D49" s="19"/>
    </row>
    <row r="50" customFormat="false" ht="15" hidden="false" customHeight="false" outlineLevel="0" collapsed="false">
      <c r="A50" s="19" t="s">
        <v>373</v>
      </c>
      <c r="B50" s="19" t="s">
        <v>334</v>
      </c>
      <c r="C50" s="19" t="s">
        <v>382</v>
      </c>
      <c r="D50" s="19"/>
    </row>
    <row r="51" customFormat="false" ht="15" hidden="false" customHeight="false" outlineLevel="0" collapsed="false">
      <c r="A51" s="19" t="s">
        <v>373</v>
      </c>
      <c r="B51" s="19" t="s">
        <v>334</v>
      </c>
      <c r="C51" s="19" t="s">
        <v>361</v>
      </c>
      <c r="D51" s="19"/>
    </row>
    <row r="52" customFormat="false" ht="23.85" hidden="false" customHeight="false" outlineLevel="0" collapsed="false">
      <c r="A52" s="20" t="s">
        <v>383</v>
      </c>
      <c r="B52" s="20"/>
      <c r="C52" s="20"/>
      <c r="D52" s="20"/>
    </row>
    <row r="53" customFormat="false" ht="15" hidden="false" customHeight="false" outlineLevel="0" collapsed="false">
      <c r="A53" s="19" t="s">
        <v>384</v>
      </c>
      <c r="B53" s="19" t="s">
        <v>325</v>
      </c>
      <c r="C53" s="19" t="s">
        <v>326</v>
      </c>
      <c r="D53" s="19" t="s">
        <v>327</v>
      </c>
    </row>
    <row r="54" customFormat="false" ht="15" hidden="false" customHeight="false" outlineLevel="0" collapsed="false">
      <c r="A54" s="19" t="s">
        <v>384</v>
      </c>
      <c r="B54" s="19" t="s">
        <v>374</v>
      </c>
      <c r="C54" s="19" t="s">
        <v>326</v>
      </c>
      <c r="D54" s="19"/>
    </row>
    <row r="55" customFormat="false" ht="15" hidden="false" customHeight="false" outlineLevel="0" collapsed="false">
      <c r="A55" s="19" t="s">
        <v>384</v>
      </c>
      <c r="B55" s="19" t="s">
        <v>385</v>
      </c>
      <c r="C55" s="19" t="s">
        <v>386</v>
      </c>
      <c r="D55" s="19"/>
    </row>
    <row r="56" customFormat="false" ht="15" hidden="false" customHeight="false" outlineLevel="0" collapsed="false">
      <c r="A56" s="19" t="s">
        <v>384</v>
      </c>
      <c r="B56" s="19" t="s">
        <v>387</v>
      </c>
      <c r="C56" s="19" t="s">
        <v>388</v>
      </c>
      <c r="D56" s="19" t="s">
        <v>389</v>
      </c>
    </row>
    <row r="57" customFormat="false" ht="15" hidden="false" customHeight="false" outlineLevel="0" collapsed="false">
      <c r="A57" s="19" t="s">
        <v>384</v>
      </c>
      <c r="B57" s="19" t="s">
        <v>390</v>
      </c>
      <c r="C57" s="19" t="s">
        <v>331</v>
      </c>
      <c r="D57" s="19"/>
    </row>
    <row r="58" customFormat="false" ht="23.85" hidden="false" customHeight="false" outlineLevel="0" collapsed="false">
      <c r="A58" s="19" t="s">
        <v>384</v>
      </c>
      <c r="B58" s="19" t="s">
        <v>391</v>
      </c>
      <c r="C58" s="19" t="s">
        <v>392</v>
      </c>
      <c r="D58" s="19"/>
    </row>
    <row r="59" customFormat="false" ht="15" hidden="false" customHeight="false" outlineLevel="0" collapsed="false">
      <c r="A59" s="19" t="s">
        <v>384</v>
      </c>
      <c r="B59" s="19" t="s">
        <v>393</v>
      </c>
      <c r="C59" s="19" t="s">
        <v>394</v>
      </c>
      <c r="D59" s="19"/>
    </row>
    <row r="60" customFormat="false" ht="15" hidden="false" customHeight="false" outlineLevel="0" collapsed="false">
      <c r="A60" s="19" t="s">
        <v>384</v>
      </c>
      <c r="B60" s="19" t="s">
        <v>395</v>
      </c>
      <c r="C60" s="19" t="s">
        <v>354</v>
      </c>
      <c r="D60" s="19"/>
    </row>
    <row r="61" customFormat="false" ht="15" hidden="false" customHeight="false" outlineLevel="0" collapsed="false">
      <c r="A61" s="19" t="s">
        <v>384</v>
      </c>
      <c r="B61" s="19" t="s">
        <v>334</v>
      </c>
      <c r="C61" s="19" t="s">
        <v>335</v>
      </c>
      <c r="D61" s="19"/>
    </row>
    <row r="62" customFormat="false" ht="15" hidden="false" customHeight="false" outlineLevel="0" collapsed="false">
      <c r="A62" s="19" t="s">
        <v>384</v>
      </c>
      <c r="B62" s="19" t="s">
        <v>334</v>
      </c>
      <c r="C62" s="19" t="s">
        <v>382</v>
      </c>
      <c r="D62" s="19"/>
    </row>
    <row r="63" customFormat="false" ht="15" hidden="false" customHeight="false" outlineLevel="0" collapsed="false">
      <c r="A63" s="19" t="s">
        <v>384</v>
      </c>
      <c r="B63" s="19" t="s">
        <v>334</v>
      </c>
      <c r="C63" s="19" t="s">
        <v>396</v>
      </c>
      <c r="D63" s="19"/>
    </row>
    <row r="64" customFormat="false" ht="46.25" hidden="false" customHeight="false" outlineLevel="0" collapsed="false">
      <c r="A64" s="20" t="s">
        <v>397</v>
      </c>
      <c r="B64" s="20"/>
      <c r="C64" s="20"/>
      <c r="D64" s="20"/>
    </row>
    <row r="65" customFormat="false" ht="15" hidden="false" customHeight="false" outlineLevel="0" collapsed="false">
      <c r="A65" s="19" t="s">
        <v>398</v>
      </c>
      <c r="B65" s="19" t="s">
        <v>325</v>
      </c>
      <c r="C65" s="19" t="s">
        <v>326</v>
      </c>
      <c r="D65" s="19" t="s">
        <v>327</v>
      </c>
    </row>
    <row r="66" customFormat="false" ht="15" hidden="false" customHeight="false" outlineLevel="0" collapsed="false">
      <c r="A66" s="19" t="s">
        <v>398</v>
      </c>
      <c r="B66" s="19" t="s">
        <v>399</v>
      </c>
      <c r="C66" s="19" t="s">
        <v>386</v>
      </c>
      <c r="D66" s="19"/>
    </row>
    <row r="67" customFormat="false" ht="15" hidden="false" customHeight="false" outlineLevel="0" collapsed="false">
      <c r="A67" s="19" t="s">
        <v>398</v>
      </c>
      <c r="B67" s="19" t="s">
        <v>400</v>
      </c>
      <c r="C67" s="19" t="s">
        <v>376</v>
      </c>
      <c r="D67" s="19" t="s">
        <v>401</v>
      </c>
    </row>
    <row r="68" customFormat="false" ht="15" hidden="false" customHeight="false" outlineLevel="0" collapsed="false">
      <c r="A68" s="19" t="s">
        <v>398</v>
      </c>
      <c r="B68" s="19" t="s">
        <v>402</v>
      </c>
      <c r="C68" s="19" t="s">
        <v>331</v>
      </c>
      <c r="D68" s="19" t="s">
        <v>403</v>
      </c>
    </row>
    <row r="69" customFormat="false" ht="15" hidden="false" customHeight="false" outlineLevel="0" collapsed="false">
      <c r="A69" s="19" t="s">
        <v>398</v>
      </c>
      <c r="B69" s="19" t="s">
        <v>404</v>
      </c>
      <c r="C69" s="19" t="s">
        <v>354</v>
      </c>
      <c r="D69" s="19"/>
    </row>
    <row r="70" customFormat="false" ht="15" hidden="false" customHeight="false" outlineLevel="0" collapsed="false">
      <c r="A70" s="19" t="s">
        <v>398</v>
      </c>
      <c r="B70" s="19" t="s">
        <v>405</v>
      </c>
      <c r="C70" s="19" t="s">
        <v>346</v>
      </c>
      <c r="D70" s="19"/>
    </row>
    <row r="71" customFormat="false" ht="15" hidden="false" customHeight="false" outlineLevel="0" collapsed="false">
      <c r="A71" s="19" t="s">
        <v>398</v>
      </c>
      <c r="B71" s="19" t="s">
        <v>334</v>
      </c>
      <c r="C71" s="19" t="s">
        <v>335</v>
      </c>
      <c r="D71" s="19"/>
    </row>
    <row r="72" customFormat="false" ht="15" hidden="false" customHeight="false" outlineLevel="0" collapsed="false">
      <c r="A72" s="19" t="s">
        <v>398</v>
      </c>
      <c r="B72" s="19" t="s">
        <v>334</v>
      </c>
      <c r="C72" s="19" t="s">
        <v>406</v>
      </c>
      <c r="D72" s="19"/>
    </row>
    <row r="73" customFormat="false" ht="35.05" hidden="false" customHeight="false" outlineLevel="0" collapsed="false">
      <c r="A73" s="20" t="s">
        <v>407</v>
      </c>
      <c r="B73" s="20"/>
      <c r="C73" s="20"/>
      <c r="D73" s="20"/>
    </row>
    <row r="74" customFormat="false" ht="15" hidden="false" customHeight="false" outlineLevel="0" collapsed="false">
      <c r="A74" s="19" t="s">
        <v>408</v>
      </c>
      <c r="B74" s="19" t="s">
        <v>325</v>
      </c>
      <c r="C74" s="19" t="s">
        <v>326</v>
      </c>
      <c r="D74" s="19" t="s">
        <v>327</v>
      </c>
    </row>
    <row r="75" customFormat="false" ht="15" hidden="false" customHeight="false" outlineLevel="0" collapsed="false">
      <c r="A75" s="19" t="s">
        <v>408</v>
      </c>
      <c r="B75" s="19" t="s">
        <v>409</v>
      </c>
      <c r="C75" s="19" t="s">
        <v>326</v>
      </c>
      <c r="D75" s="19"/>
    </row>
    <row r="76" customFormat="false" ht="15" hidden="false" customHeight="false" outlineLevel="0" collapsed="false">
      <c r="A76" s="19" t="s">
        <v>408</v>
      </c>
      <c r="B76" s="19" t="s">
        <v>410</v>
      </c>
      <c r="C76" s="19" t="s">
        <v>326</v>
      </c>
      <c r="D76" s="19"/>
    </row>
    <row r="77" customFormat="false" ht="15" hidden="false" customHeight="false" outlineLevel="0" collapsed="false">
      <c r="A77" s="19" t="s">
        <v>408</v>
      </c>
      <c r="B77" s="19" t="s">
        <v>411</v>
      </c>
      <c r="C77" s="19" t="s">
        <v>326</v>
      </c>
      <c r="D77" s="19"/>
    </row>
    <row r="78" customFormat="false" ht="15" hidden="false" customHeight="false" outlineLevel="0" collapsed="false">
      <c r="A78" s="19" t="s">
        <v>408</v>
      </c>
      <c r="B78" s="19" t="s">
        <v>412</v>
      </c>
      <c r="C78" s="19" t="s">
        <v>376</v>
      </c>
      <c r="D78" s="19" t="s">
        <v>413</v>
      </c>
    </row>
    <row r="79" customFormat="false" ht="15" hidden="false" customHeight="false" outlineLevel="0" collapsed="false">
      <c r="A79" s="19" t="s">
        <v>408</v>
      </c>
      <c r="B79" s="19" t="s">
        <v>414</v>
      </c>
      <c r="C79" s="19" t="s">
        <v>376</v>
      </c>
      <c r="D79" s="19" t="s">
        <v>415</v>
      </c>
    </row>
    <row r="80" customFormat="false" ht="15" hidden="false" customHeight="false" outlineLevel="0" collapsed="false">
      <c r="A80" s="19" t="s">
        <v>408</v>
      </c>
      <c r="B80" s="19" t="s">
        <v>416</v>
      </c>
      <c r="C80" s="19" t="s">
        <v>376</v>
      </c>
      <c r="D80" s="19" t="s">
        <v>417</v>
      </c>
    </row>
    <row r="81" customFormat="false" ht="15" hidden="false" customHeight="false" outlineLevel="0" collapsed="false">
      <c r="A81" s="19" t="s">
        <v>408</v>
      </c>
      <c r="B81" s="19" t="s">
        <v>334</v>
      </c>
      <c r="C81" s="19" t="s">
        <v>335</v>
      </c>
      <c r="D81" s="19"/>
    </row>
    <row r="82" customFormat="false" ht="15" hidden="false" customHeight="false" outlineLevel="0" collapsed="false">
      <c r="A82" s="19" t="s">
        <v>408</v>
      </c>
      <c r="B82" s="19" t="s">
        <v>334</v>
      </c>
      <c r="C82" s="19" t="s">
        <v>418</v>
      </c>
      <c r="D82" s="19"/>
    </row>
    <row r="83" customFormat="false" ht="15" hidden="false" customHeight="false" outlineLevel="0" collapsed="false">
      <c r="A83" s="19" t="s">
        <v>408</v>
      </c>
      <c r="B83" s="19" t="s">
        <v>334</v>
      </c>
      <c r="C83" s="19" t="s">
        <v>419</v>
      </c>
      <c r="D83" s="19"/>
    </row>
    <row r="84" customFormat="false" ht="15" hidden="false" customHeight="false" outlineLevel="0" collapsed="false">
      <c r="A84" s="19" t="s">
        <v>408</v>
      </c>
      <c r="B84" s="19" t="s">
        <v>334</v>
      </c>
      <c r="C84" s="19" t="s">
        <v>420</v>
      </c>
      <c r="D84" s="19"/>
    </row>
    <row r="85" customFormat="false" ht="15" hidden="false" customHeight="false" outlineLevel="0" collapsed="false">
      <c r="A85" s="19" t="s">
        <v>408</v>
      </c>
      <c r="B85" s="19" t="s">
        <v>334</v>
      </c>
      <c r="C85" s="19" t="s">
        <v>421</v>
      </c>
      <c r="D85" s="19"/>
    </row>
    <row r="86" customFormat="false" ht="15" hidden="false" customHeight="false" outlineLevel="0" collapsed="false">
      <c r="A86" s="19" t="s">
        <v>408</v>
      </c>
      <c r="B86" s="19" t="s">
        <v>334</v>
      </c>
      <c r="C86" s="19" t="s">
        <v>422</v>
      </c>
      <c r="D86" s="19"/>
    </row>
    <row r="87" customFormat="false" ht="35.05" hidden="false" customHeight="false" outlineLevel="0" collapsed="false">
      <c r="A87" s="20" t="s">
        <v>423</v>
      </c>
      <c r="B87" s="20"/>
      <c r="C87" s="20"/>
      <c r="D87" s="20"/>
    </row>
    <row r="88" customFormat="false" ht="15" hidden="false" customHeight="false" outlineLevel="0" collapsed="false">
      <c r="A88" s="19" t="s">
        <v>424</v>
      </c>
      <c r="B88" s="19" t="s">
        <v>325</v>
      </c>
      <c r="C88" s="19" t="s">
        <v>326</v>
      </c>
      <c r="D88" s="19" t="s">
        <v>327</v>
      </c>
    </row>
    <row r="89" customFormat="false" ht="15" hidden="false" customHeight="false" outlineLevel="0" collapsed="false">
      <c r="A89" s="19" t="s">
        <v>424</v>
      </c>
      <c r="B89" s="19" t="s">
        <v>425</v>
      </c>
      <c r="C89" s="19" t="s">
        <v>426</v>
      </c>
      <c r="D89" s="19" t="s">
        <v>427</v>
      </c>
    </row>
    <row r="90" customFormat="false" ht="15" hidden="false" customHeight="false" outlineLevel="0" collapsed="false">
      <c r="A90" s="19" t="s">
        <v>424</v>
      </c>
      <c r="B90" s="19" t="s">
        <v>410</v>
      </c>
      <c r="C90" s="19" t="s">
        <v>326</v>
      </c>
      <c r="D90" s="19"/>
    </row>
    <row r="91" customFormat="false" ht="15" hidden="false" customHeight="false" outlineLevel="0" collapsed="false">
      <c r="A91" s="19" t="s">
        <v>424</v>
      </c>
      <c r="B91" s="19" t="s">
        <v>411</v>
      </c>
      <c r="C91" s="19" t="s">
        <v>326</v>
      </c>
      <c r="D91" s="19"/>
    </row>
    <row r="92" customFormat="false" ht="15" hidden="false" customHeight="false" outlineLevel="0" collapsed="false">
      <c r="A92" s="19" t="s">
        <v>424</v>
      </c>
      <c r="B92" s="19" t="s">
        <v>428</v>
      </c>
      <c r="C92" s="19" t="s">
        <v>338</v>
      </c>
      <c r="D92" s="19"/>
    </row>
    <row r="93" customFormat="false" ht="15" hidden="false" customHeight="false" outlineLevel="0" collapsed="false">
      <c r="A93" s="19" t="s">
        <v>424</v>
      </c>
      <c r="B93" s="19" t="s">
        <v>429</v>
      </c>
      <c r="C93" s="19" t="s">
        <v>430</v>
      </c>
      <c r="D93" s="19"/>
    </row>
    <row r="94" customFormat="false" ht="15" hidden="false" customHeight="false" outlineLevel="0" collapsed="false">
      <c r="A94" s="19" t="s">
        <v>424</v>
      </c>
      <c r="B94" s="19" t="s">
        <v>431</v>
      </c>
      <c r="C94" s="19" t="s">
        <v>338</v>
      </c>
      <c r="D94" s="19"/>
    </row>
    <row r="95" customFormat="false" ht="15" hidden="false" customHeight="false" outlineLevel="0" collapsed="false">
      <c r="A95" s="19" t="s">
        <v>424</v>
      </c>
      <c r="B95" s="19" t="s">
        <v>432</v>
      </c>
      <c r="C95" s="19" t="s">
        <v>430</v>
      </c>
      <c r="D95" s="19" t="s">
        <v>433</v>
      </c>
    </row>
    <row r="96" customFormat="false" ht="15" hidden="false" customHeight="false" outlineLevel="0" collapsed="false">
      <c r="A96" s="19" t="s">
        <v>424</v>
      </c>
      <c r="B96" s="19" t="s">
        <v>434</v>
      </c>
      <c r="C96" s="19" t="s">
        <v>435</v>
      </c>
      <c r="D96" s="19"/>
    </row>
    <row r="97" customFormat="false" ht="15" hidden="false" customHeight="false" outlineLevel="0" collapsed="false">
      <c r="A97" s="19" t="s">
        <v>424</v>
      </c>
      <c r="B97" s="19" t="s">
        <v>436</v>
      </c>
      <c r="C97" s="19" t="s">
        <v>437</v>
      </c>
      <c r="D97" s="19"/>
    </row>
    <row r="98" customFormat="false" ht="15" hidden="false" customHeight="false" outlineLevel="0" collapsed="false">
      <c r="A98" s="19" t="s">
        <v>424</v>
      </c>
      <c r="B98" s="19" t="s">
        <v>438</v>
      </c>
      <c r="C98" s="19" t="s">
        <v>439</v>
      </c>
      <c r="D98" s="19" t="s">
        <v>440</v>
      </c>
    </row>
    <row r="99" customFormat="false" ht="15" hidden="false" customHeight="false" outlineLevel="0" collapsed="false">
      <c r="A99" s="19" t="s">
        <v>424</v>
      </c>
      <c r="B99" s="19" t="s">
        <v>395</v>
      </c>
      <c r="C99" s="19" t="s">
        <v>354</v>
      </c>
      <c r="D99" s="19"/>
    </row>
    <row r="100" customFormat="false" ht="15" hidden="false" customHeight="false" outlineLevel="0" collapsed="false">
      <c r="A100" s="19" t="s">
        <v>424</v>
      </c>
      <c r="B100" s="19" t="s">
        <v>345</v>
      </c>
      <c r="C100" s="19" t="s">
        <v>346</v>
      </c>
      <c r="D100" s="19"/>
    </row>
    <row r="101" customFormat="false" ht="15" hidden="false" customHeight="false" outlineLevel="0" collapsed="false">
      <c r="A101" s="19" t="s">
        <v>424</v>
      </c>
      <c r="B101" s="19" t="s">
        <v>334</v>
      </c>
      <c r="C101" s="19" t="s">
        <v>335</v>
      </c>
      <c r="D101" s="19"/>
    </row>
    <row r="102" customFormat="false" ht="15" hidden="false" customHeight="false" outlineLevel="0" collapsed="false">
      <c r="A102" s="19" t="s">
        <v>424</v>
      </c>
      <c r="B102" s="19" t="s">
        <v>334</v>
      </c>
      <c r="C102" s="19" t="s">
        <v>441</v>
      </c>
      <c r="D102" s="19"/>
    </row>
    <row r="103" customFormat="false" ht="15" hidden="false" customHeight="false" outlineLevel="0" collapsed="false">
      <c r="A103" s="19" t="s">
        <v>424</v>
      </c>
      <c r="B103" s="19" t="s">
        <v>334</v>
      </c>
      <c r="C103" s="19" t="s">
        <v>421</v>
      </c>
      <c r="D103" s="19"/>
    </row>
    <row r="104" customFormat="false" ht="15" hidden="false" customHeight="false" outlineLevel="0" collapsed="false">
      <c r="A104" s="19" t="s">
        <v>424</v>
      </c>
      <c r="B104" s="19" t="s">
        <v>334</v>
      </c>
      <c r="C104" s="19" t="s">
        <v>422</v>
      </c>
      <c r="D104" s="19"/>
    </row>
    <row r="105" customFormat="false" ht="15" hidden="false" customHeight="false" outlineLevel="0" collapsed="false">
      <c r="A105" s="19" t="s">
        <v>424</v>
      </c>
      <c r="B105" s="19" t="s">
        <v>334</v>
      </c>
      <c r="C105" s="19" t="s">
        <v>396</v>
      </c>
      <c r="D105" s="19"/>
    </row>
    <row r="106" customFormat="false" ht="35.05" hidden="false" customHeight="false" outlineLevel="0" collapsed="false">
      <c r="A106" s="20" t="s">
        <v>442</v>
      </c>
      <c r="B106" s="20"/>
      <c r="C106" s="20"/>
      <c r="D106" s="20"/>
    </row>
    <row r="107" customFormat="false" ht="15" hidden="false" customHeight="false" outlineLevel="0" collapsed="false">
      <c r="A107" s="19" t="s">
        <v>443</v>
      </c>
      <c r="B107" s="19" t="s">
        <v>325</v>
      </c>
      <c r="C107" s="19" t="s">
        <v>326</v>
      </c>
      <c r="D107" s="19" t="s">
        <v>327</v>
      </c>
    </row>
    <row r="108" customFormat="false" ht="15" hidden="false" customHeight="false" outlineLevel="0" collapsed="false">
      <c r="A108" s="19" t="s">
        <v>443</v>
      </c>
      <c r="B108" s="19" t="s">
        <v>444</v>
      </c>
      <c r="C108" s="19" t="s">
        <v>326</v>
      </c>
      <c r="D108" s="19"/>
    </row>
    <row r="109" customFormat="false" ht="15" hidden="false" customHeight="false" outlineLevel="0" collapsed="false">
      <c r="A109" s="19" t="s">
        <v>443</v>
      </c>
      <c r="B109" s="19" t="s">
        <v>445</v>
      </c>
      <c r="C109" s="19" t="s">
        <v>376</v>
      </c>
      <c r="D109" s="19" t="s">
        <v>446</v>
      </c>
    </row>
    <row r="110" customFormat="false" ht="15" hidden="false" customHeight="false" outlineLevel="0" collapsed="false">
      <c r="A110" s="19" t="s">
        <v>443</v>
      </c>
      <c r="B110" s="19" t="s">
        <v>447</v>
      </c>
      <c r="C110" s="19" t="s">
        <v>448</v>
      </c>
      <c r="D110" s="19" t="s">
        <v>449</v>
      </c>
    </row>
    <row r="111" customFormat="false" ht="15" hidden="false" customHeight="false" outlineLevel="0" collapsed="false">
      <c r="A111" s="19" t="s">
        <v>443</v>
      </c>
      <c r="B111" s="19" t="s">
        <v>450</v>
      </c>
      <c r="C111" s="19" t="s">
        <v>451</v>
      </c>
      <c r="D111" s="19" t="s">
        <v>452</v>
      </c>
    </row>
    <row r="112" customFormat="false" ht="15" hidden="false" customHeight="false" outlineLevel="0" collapsed="false">
      <c r="A112" s="19" t="s">
        <v>443</v>
      </c>
      <c r="B112" s="19" t="s">
        <v>453</v>
      </c>
      <c r="C112" s="19" t="s">
        <v>376</v>
      </c>
      <c r="D112" s="19"/>
    </row>
    <row r="113" customFormat="false" ht="15" hidden="false" customHeight="false" outlineLevel="0" collapsed="false">
      <c r="A113" s="19" t="s">
        <v>443</v>
      </c>
      <c r="B113" s="19" t="s">
        <v>454</v>
      </c>
      <c r="C113" s="19" t="s">
        <v>437</v>
      </c>
      <c r="D113" s="19"/>
    </row>
    <row r="114" customFormat="false" ht="15" hidden="false" customHeight="false" outlineLevel="0" collapsed="false">
      <c r="A114" s="19" t="s">
        <v>443</v>
      </c>
      <c r="B114" s="19" t="s">
        <v>455</v>
      </c>
      <c r="C114" s="19" t="s">
        <v>437</v>
      </c>
      <c r="D114" s="19"/>
    </row>
    <row r="115" customFormat="false" ht="15" hidden="false" customHeight="false" outlineLevel="0" collapsed="false">
      <c r="A115" s="19" t="s">
        <v>443</v>
      </c>
      <c r="B115" s="19" t="s">
        <v>456</v>
      </c>
      <c r="C115" s="19" t="s">
        <v>437</v>
      </c>
      <c r="D115" s="19"/>
    </row>
    <row r="116" customFormat="false" ht="35.05" hidden="false" customHeight="false" outlineLevel="0" collapsed="false">
      <c r="A116" s="19" t="s">
        <v>443</v>
      </c>
      <c r="B116" s="19" t="s">
        <v>391</v>
      </c>
      <c r="C116" s="19" t="s">
        <v>457</v>
      </c>
      <c r="D116" s="19" t="s">
        <v>458</v>
      </c>
    </row>
    <row r="117" customFormat="false" ht="35.05" hidden="false" customHeight="false" outlineLevel="0" collapsed="false">
      <c r="A117" s="19" t="s">
        <v>443</v>
      </c>
      <c r="B117" s="19" t="s">
        <v>459</v>
      </c>
      <c r="C117" s="19" t="s">
        <v>460</v>
      </c>
      <c r="D117" s="19" t="s">
        <v>461</v>
      </c>
    </row>
    <row r="118" customFormat="false" ht="15" hidden="false" customHeight="false" outlineLevel="0" collapsed="false">
      <c r="A118" s="19" t="s">
        <v>443</v>
      </c>
      <c r="B118" s="19" t="s">
        <v>462</v>
      </c>
      <c r="C118" s="19" t="s">
        <v>463</v>
      </c>
      <c r="D118" s="19" t="s">
        <v>464</v>
      </c>
    </row>
    <row r="119" customFormat="false" ht="15" hidden="false" customHeight="false" outlineLevel="0" collapsed="false">
      <c r="A119" s="19" t="s">
        <v>443</v>
      </c>
      <c r="B119" s="19" t="s">
        <v>465</v>
      </c>
      <c r="C119" s="19" t="s">
        <v>354</v>
      </c>
      <c r="D119" s="19" t="s">
        <v>466</v>
      </c>
    </row>
    <row r="120" customFormat="false" ht="15" hidden="false" customHeight="false" outlineLevel="0" collapsed="false">
      <c r="A120" s="19" t="s">
        <v>443</v>
      </c>
      <c r="B120" s="19" t="s">
        <v>467</v>
      </c>
      <c r="C120" s="19" t="s">
        <v>354</v>
      </c>
      <c r="D120" s="19"/>
    </row>
    <row r="121" customFormat="false" ht="15" hidden="false" customHeight="false" outlineLevel="0" collapsed="false">
      <c r="A121" s="19" t="s">
        <v>443</v>
      </c>
      <c r="B121" s="19" t="s">
        <v>334</v>
      </c>
      <c r="C121" s="19" t="s">
        <v>335</v>
      </c>
      <c r="D121" s="19"/>
    </row>
    <row r="122" customFormat="false" ht="15" hidden="false" customHeight="false" outlineLevel="0" collapsed="false">
      <c r="A122" s="19" t="s">
        <v>443</v>
      </c>
      <c r="B122" s="19" t="s">
        <v>334</v>
      </c>
      <c r="C122" s="19" t="s">
        <v>468</v>
      </c>
      <c r="D122" s="19"/>
    </row>
    <row r="123" customFormat="false" ht="15" hidden="false" customHeight="false" outlineLevel="0" collapsed="false">
      <c r="A123" s="19" t="s">
        <v>443</v>
      </c>
      <c r="B123" s="19" t="s">
        <v>334</v>
      </c>
      <c r="C123" s="19" t="s">
        <v>469</v>
      </c>
      <c r="D123" s="19"/>
    </row>
    <row r="124" customFormat="false" ht="15" hidden="false" customHeight="false" outlineLevel="0" collapsed="false">
      <c r="A124" s="19" t="s">
        <v>443</v>
      </c>
      <c r="B124" s="19" t="s">
        <v>334</v>
      </c>
      <c r="C124" s="19" t="s">
        <v>470</v>
      </c>
      <c r="D124" s="19"/>
    </row>
    <row r="125" customFormat="false" ht="15" hidden="false" customHeight="false" outlineLevel="0" collapsed="false">
      <c r="A125" s="19" t="s">
        <v>443</v>
      </c>
      <c r="B125" s="19" t="s">
        <v>334</v>
      </c>
      <c r="C125" s="19" t="s">
        <v>471</v>
      </c>
      <c r="D125" s="19"/>
    </row>
    <row r="126" customFormat="false" ht="15" hidden="false" customHeight="false" outlineLevel="0" collapsed="false">
      <c r="A126" s="19" t="s">
        <v>443</v>
      </c>
      <c r="B126" s="19" t="s">
        <v>334</v>
      </c>
      <c r="C126" s="19" t="s">
        <v>472</v>
      </c>
      <c r="D126" s="19"/>
    </row>
    <row r="127" customFormat="false" ht="15" hidden="false" customHeight="false" outlineLevel="0" collapsed="false">
      <c r="A127" s="19" t="s">
        <v>443</v>
      </c>
      <c r="B127" s="19" t="s">
        <v>334</v>
      </c>
      <c r="C127" s="19" t="s">
        <v>473</v>
      </c>
      <c r="D127" s="19"/>
    </row>
    <row r="128" customFormat="false" ht="15" hidden="false" customHeight="false" outlineLevel="0" collapsed="false">
      <c r="A128" s="19" t="s">
        <v>443</v>
      </c>
      <c r="B128" s="19" t="s">
        <v>334</v>
      </c>
      <c r="C128" s="19" t="s">
        <v>474</v>
      </c>
      <c r="D128" s="19"/>
    </row>
    <row r="129" customFormat="false" ht="46.25" hidden="false" customHeight="false" outlineLevel="0" collapsed="false">
      <c r="A129" s="20" t="s">
        <v>475</v>
      </c>
      <c r="B129" s="20"/>
      <c r="C129" s="20"/>
      <c r="D129" s="20"/>
    </row>
    <row r="130" customFormat="false" ht="15" hidden="false" customHeight="false" outlineLevel="0" collapsed="false">
      <c r="A130" s="19" t="s">
        <v>476</v>
      </c>
      <c r="B130" s="19" t="s">
        <v>325</v>
      </c>
      <c r="C130" s="19" t="s">
        <v>326</v>
      </c>
      <c r="D130" s="19" t="s">
        <v>327</v>
      </c>
    </row>
    <row r="131" customFormat="false" ht="15" hidden="false" customHeight="false" outlineLevel="0" collapsed="false">
      <c r="A131" s="19" t="s">
        <v>476</v>
      </c>
      <c r="B131" s="19" t="s">
        <v>477</v>
      </c>
      <c r="C131" s="19" t="s">
        <v>326</v>
      </c>
      <c r="D131" s="19"/>
    </row>
    <row r="132" customFormat="false" ht="15" hidden="false" customHeight="false" outlineLevel="0" collapsed="false">
      <c r="A132" s="19" t="s">
        <v>476</v>
      </c>
      <c r="B132" s="19" t="s">
        <v>375</v>
      </c>
      <c r="C132" s="19" t="s">
        <v>376</v>
      </c>
      <c r="D132" s="19"/>
    </row>
    <row r="133" customFormat="false" ht="15" hidden="false" customHeight="false" outlineLevel="0" collapsed="false">
      <c r="A133" s="19" t="s">
        <v>476</v>
      </c>
      <c r="B133" s="19" t="s">
        <v>478</v>
      </c>
      <c r="C133" s="19" t="s">
        <v>326</v>
      </c>
      <c r="D133" s="19"/>
    </row>
    <row r="134" customFormat="false" ht="15" hidden="false" customHeight="false" outlineLevel="0" collapsed="false">
      <c r="A134" s="19" t="s">
        <v>476</v>
      </c>
      <c r="B134" s="19" t="s">
        <v>479</v>
      </c>
      <c r="C134" s="19" t="s">
        <v>326</v>
      </c>
      <c r="D134" s="19"/>
    </row>
    <row r="135" customFormat="false" ht="15" hidden="false" customHeight="false" outlineLevel="0" collapsed="false">
      <c r="A135" s="19" t="s">
        <v>476</v>
      </c>
      <c r="B135" s="19" t="s">
        <v>334</v>
      </c>
      <c r="C135" s="19" t="s">
        <v>335</v>
      </c>
      <c r="D135" s="19"/>
    </row>
    <row r="136" customFormat="false" ht="15" hidden="false" customHeight="false" outlineLevel="0" collapsed="false">
      <c r="A136" s="19" t="s">
        <v>476</v>
      </c>
      <c r="B136" s="19" t="s">
        <v>334</v>
      </c>
      <c r="C136" s="19" t="s">
        <v>480</v>
      </c>
      <c r="D136" s="19"/>
    </row>
    <row r="137" customFormat="false" ht="15" hidden="false" customHeight="false" outlineLevel="0" collapsed="false">
      <c r="A137" s="19" t="s">
        <v>476</v>
      </c>
      <c r="B137" s="19" t="s">
        <v>334</v>
      </c>
      <c r="C137" s="19" t="s">
        <v>481</v>
      </c>
      <c r="D137" s="19"/>
    </row>
    <row r="138" customFormat="false" ht="15" hidden="false" customHeight="false" outlineLevel="0" collapsed="false">
      <c r="A138" s="19" t="s">
        <v>476</v>
      </c>
      <c r="B138" s="19" t="s">
        <v>334</v>
      </c>
      <c r="C138" s="19" t="s">
        <v>482</v>
      </c>
      <c r="D138" s="19"/>
    </row>
    <row r="139" customFormat="false" ht="15" hidden="false" customHeight="false" outlineLevel="0" collapsed="false">
      <c r="A139" s="19" t="s">
        <v>476</v>
      </c>
      <c r="B139" s="19" t="s">
        <v>334</v>
      </c>
      <c r="C139" s="19" t="s">
        <v>483</v>
      </c>
      <c r="D139" s="19"/>
    </row>
    <row r="140" customFormat="false" ht="46.25" hidden="false" customHeight="false" outlineLevel="0" collapsed="false">
      <c r="A140" s="20" t="s">
        <v>484</v>
      </c>
      <c r="B140" s="20"/>
      <c r="C140" s="20"/>
      <c r="D140" s="20"/>
    </row>
    <row r="141" customFormat="false" ht="15" hidden="false" customHeight="false" outlineLevel="0" collapsed="false">
      <c r="A141" s="19" t="s">
        <v>485</v>
      </c>
      <c r="B141" s="19" t="s">
        <v>325</v>
      </c>
      <c r="C141" s="19" t="s">
        <v>326</v>
      </c>
      <c r="D141" s="19" t="s">
        <v>327</v>
      </c>
    </row>
    <row r="142" customFormat="false" ht="15" hidden="false" customHeight="false" outlineLevel="0" collapsed="false">
      <c r="A142" s="19" t="s">
        <v>485</v>
      </c>
      <c r="B142" s="19" t="s">
        <v>486</v>
      </c>
      <c r="C142" s="19" t="s">
        <v>326</v>
      </c>
      <c r="D142" s="19"/>
    </row>
    <row r="143" customFormat="false" ht="15" hidden="false" customHeight="false" outlineLevel="0" collapsed="false">
      <c r="A143" s="19" t="s">
        <v>485</v>
      </c>
      <c r="B143" s="19" t="s">
        <v>462</v>
      </c>
      <c r="C143" s="19" t="s">
        <v>376</v>
      </c>
      <c r="D143" s="19"/>
    </row>
    <row r="144" customFormat="false" ht="15" hidden="false" customHeight="false" outlineLevel="0" collapsed="false">
      <c r="A144" s="19" t="s">
        <v>485</v>
      </c>
      <c r="B144" s="19" t="s">
        <v>487</v>
      </c>
      <c r="C144" s="19" t="s">
        <v>488</v>
      </c>
      <c r="D144" s="19"/>
    </row>
    <row r="145" customFormat="false" ht="15" hidden="false" customHeight="false" outlineLevel="0" collapsed="false">
      <c r="A145" s="19" t="s">
        <v>485</v>
      </c>
      <c r="B145" s="19" t="s">
        <v>489</v>
      </c>
      <c r="C145" s="19" t="s">
        <v>354</v>
      </c>
      <c r="D145" s="19"/>
    </row>
    <row r="146" customFormat="false" ht="15" hidden="false" customHeight="false" outlineLevel="0" collapsed="false">
      <c r="A146" s="19" t="s">
        <v>485</v>
      </c>
      <c r="B146" s="19" t="s">
        <v>490</v>
      </c>
      <c r="C146" s="19" t="s">
        <v>491</v>
      </c>
      <c r="D146" s="19" t="s">
        <v>492</v>
      </c>
    </row>
    <row r="147" customFormat="false" ht="15" hidden="false" customHeight="false" outlineLevel="0" collapsed="false">
      <c r="A147" s="19" t="s">
        <v>485</v>
      </c>
      <c r="B147" s="19" t="s">
        <v>334</v>
      </c>
      <c r="C147" s="19" t="s">
        <v>335</v>
      </c>
      <c r="D147" s="19"/>
    </row>
    <row r="148" customFormat="false" ht="15" hidden="false" customHeight="false" outlineLevel="0" collapsed="false">
      <c r="A148" s="19" t="s">
        <v>485</v>
      </c>
      <c r="B148" s="19" t="s">
        <v>334</v>
      </c>
      <c r="C148" s="19" t="s">
        <v>493</v>
      </c>
      <c r="D148" s="19"/>
    </row>
    <row r="149" customFormat="false" ht="15" hidden="false" customHeight="false" outlineLevel="0" collapsed="false">
      <c r="A149" s="19" t="s">
        <v>485</v>
      </c>
      <c r="B149" s="19" t="s">
        <v>334</v>
      </c>
      <c r="C149" s="19" t="s">
        <v>494</v>
      </c>
      <c r="D149" s="19"/>
    </row>
    <row r="150" customFormat="false" ht="15" hidden="false" customHeight="false" outlineLevel="0" collapsed="false">
      <c r="A150" s="19" t="s">
        <v>485</v>
      </c>
      <c r="B150" s="19" t="s">
        <v>334</v>
      </c>
      <c r="C150" s="19" t="s">
        <v>495</v>
      </c>
      <c r="D150" s="19"/>
    </row>
    <row r="151" customFormat="false" ht="68.65" hidden="false" customHeight="false" outlineLevel="0" collapsed="false">
      <c r="A151" s="20" t="s">
        <v>496</v>
      </c>
      <c r="B151" s="20"/>
      <c r="C151" s="20"/>
      <c r="D151" s="20"/>
    </row>
    <row r="152" customFormat="false" ht="15" hidden="false" customHeight="false" outlineLevel="0" collapsed="false">
      <c r="A152" s="19" t="s">
        <v>497</v>
      </c>
      <c r="B152" s="19" t="s">
        <v>498</v>
      </c>
      <c r="C152" s="19" t="s">
        <v>326</v>
      </c>
      <c r="D152" s="19"/>
    </row>
    <row r="153" customFormat="false" ht="15" hidden="false" customHeight="false" outlineLevel="0" collapsed="false">
      <c r="A153" s="19" t="s">
        <v>497</v>
      </c>
      <c r="B153" s="19" t="s">
        <v>477</v>
      </c>
      <c r="C153" s="19" t="s">
        <v>326</v>
      </c>
      <c r="D153" s="19"/>
    </row>
    <row r="154" customFormat="false" ht="15" hidden="false" customHeight="false" outlineLevel="0" collapsed="false">
      <c r="A154" s="19" t="s">
        <v>497</v>
      </c>
      <c r="B154" s="19" t="s">
        <v>499</v>
      </c>
      <c r="C154" s="19" t="s">
        <v>326</v>
      </c>
      <c r="D154" s="19"/>
    </row>
    <row r="155" customFormat="false" ht="15" hidden="false" customHeight="false" outlineLevel="0" collapsed="false">
      <c r="A155" s="19" t="s">
        <v>497</v>
      </c>
      <c r="B155" s="19" t="s">
        <v>500</v>
      </c>
      <c r="C155" s="19" t="s">
        <v>376</v>
      </c>
      <c r="D155" s="19"/>
    </row>
    <row r="156" customFormat="false" ht="15" hidden="false" customHeight="false" outlineLevel="0" collapsed="false">
      <c r="A156" s="19" t="s">
        <v>497</v>
      </c>
      <c r="B156" s="19" t="s">
        <v>501</v>
      </c>
      <c r="C156" s="19" t="s">
        <v>376</v>
      </c>
      <c r="D156" s="19"/>
    </row>
    <row r="157" customFormat="false" ht="15" hidden="false" customHeight="false" outlineLevel="0" collapsed="false">
      <c r="A157" s="19" t="s">
        <v>497</v>
      </c>
      <c r="B157" s="19" t="s">
        <v>334</v>
      </c>
      <c r="C157" s="19" t="s">
        <v>502</v>
      </c>
      <c r="D157" s="19"/>
    </row>
    <row r="158" customFormat="false" ht="15" hidden="false" customHeight="false" outlineLevel="0" collapsed="false">
      <c r="A158" s="19" t="s">
        <v>497</v>
      </c>
      <c r="B158" s="19" t="s">
        <v>334</v>
      </c>
      <c r="C158" s="19" t="s">
        <v>503</v>
      </c>
      <c r="D158" s="19"/>
    </row>
    <row r="159" customFormat="false" ht="15" hidden="false" customHeight="false" outlineLevel="0" collapsed="false">
      <c r="A159" s="19" t="s">
        <v>497</v>
      </c>
      <c r="B159" s="19" t="s">
        <v>334</v>
      </c>
      <c r="C159" s="19" t="s">
        <v>504</v>
      </c>
      <c r="D159" s="19"/>
    </row>
    <row r="160" customFormat="false" ht="15" hidden="false" customHeight="false" outlineLevel="0" collapsed="false">
      <c r="A160" s="19" t="s">
        <v>497</v>
      </c>
      <c r="B160" s="19" t="s">
        <v>334</v>
      </c>
      <c r="C160" s="19" t="s">
        <v>505</v>
      </c>
      <c r="D160" s="19"/>
    </row>
    <row r="161" customFormat="false" ht="15" hidden="false" customHeight="false" outlineLevel="0" collapsed="false">
      <c r="A161" s="19" t="s">
        <v>497</v>
      </c>
      <c r="B161" s="19" t="s">
        <v>334</v>
      </c>
      <c r="C161" s="19" t="s">
        <v>481</v>
      </c>
      <c r="D161" s="19"/>
    </row>
    <row r="162" customFormat="false" ht="15" hidden="false" customHeight="false" outlineLevel="0" collapsed="false">
      <c r="A162" s="19" t="s">
        <v>497</v>
      </c>
      <c r="B162" s="19" t="s">
        <v>334</v>
      </c>
      <c r="C162" s="19" t="s">
        <v>506</v>
      </c>
      <c r="D162" s="19"/>
    </row>
    <row r="163" customFormat="false" ht="46.25" hidden="false" customHeight="false" outlineLevel="0" collapsed="false">
      <c r="A163" s="20" t="s">
        <v>507</v>
      </c>
      <c r="B163" s="20"/>
      <c r="C163" s="20"/>
      <c r="D163" s="20"/>
    </row>
    <row r="164" customFormat="false" ht="15" hidden="false" customHeight="false" outlineLevel="0" collapsed="false">
      <c r="A164" s="19" t="s">
        <v>508</v>
      </c>
      <c r="B164" s="19" t="s">
        <v>325</v>
      </c>
      <c r="C164" s="19" t="s">
        <v>326</v>
      </c>
      <c r="D164" s="19" t="s">
        <v>327</v>
      </c>
    </row>
    <row r="165" customFormat="false" ht="15" hidden="false" customHeight="false" outlineLevel="0" collapsed="false">
      <c r="A165" s="19" t="s">
        <v>508</v>
      </c>
      <c r="B165" s="19" t="s">
        <v>486</v>
      </c>
      <c r="C165" s="19" t="s">
        <v>326</v>
      </c>
      <c r="D165" s="19"/>
    </row>
    <row r="166" customFormat="false" ht="15" hidden="false" customHeight="false" outlineLevel="0" collapsed="false">
      <c r="A166" s="19" t="s">
        <v>508</v>
      </c>
      <c r="B166" s="19" t="s">
        <v>509</v>
      </c>
      <c r="C166" s="19" t="s">
        <v>376</v>
      </c>
      <c r="D166" s="19"/>
    </row>
    <row r="167" customFormat="false" ht="15" hidden="false" customHeight="false" outlineLevel="0" collapsed="false">
      <c r="A167" s="19" t="s">
        <v>508</v>
      </c>
      <c r="B167" s="19" t="s">
        <v>510</v>
      </c>
      <c r="C167" s="19" t="s">
        <v>376</v>
      </c>
      <c r="D167" s="19"/>
    </row>
    <row r="168" customFormat="false" ht="15" hidden="false" customHeight="false" outlineLevel="0" collapsed="false">
      <c r="A168" s="19" t="s">
        <v>508</v>
      </c>
      <c r="B168" s="19" t="s">
        <v>511</v>
      </c>
      <c r="C168" s="19" t="s">
        <v>512</v>
      </c>
      <c r="D168" s="19"/>
    </row>
    <row r="169" customFormat="false" ht="15" hidden="false" customHeight="false" outlineLevel="0" collapsed="false">
      <c r="A169" s="19" t="s">
        <v>508</v>
      </c>
      <c r="B169" s="19" t="s">
        <v>513</v>
      </c>
      <c r="C169" s="19" t="s">
        <v>354</v>
      </c>
      <c r="D169" s="19" t="s">
        <v>514</v>
      </c>
    </row>
    <row r="170" customFormat="false" ht="15" hidden="false" customHeight="false" outlineLevel="0" collapsed="false">
      <c r="A170" s="19" t="s">
        <v>508</v>
      </c>
      <c r="B170" s="19" t="s">
        <v>515</v>
      </c>
      <c r="C170" s="19" t="s">
        <v>326</v>
      </c>
      <c r="D170" s="19"/>
    </row>
    <row r="171" customFormat="false" ht="15" hidden="false" customHeight="false" outlineLevel="0" collapsed="false">
      <c r="A171" s="19" t="s">
        <v>508</v>
      </c>
      <c r="B171" s="19" t="s">
        <v>516</v>
      </c>
      <c r="C171" s="19" t="s">
        <v>346</v>
      </c>
      <c r="D171" s="19"/>
    </row>
    <row r="172" customFormat="false" ht="15" hidden="false" customHeight="false" outlineLevel="0" collapsed="false">
      <c r="A172" s="19" t="s">
        <v>508</v>
      </c>
      <c r="B172" s="19" t="s">
        <v>517</v>
      </c>
      <c r="C172" s="19" t="s">
        <v>491</v>
      </c>
      <c r="D172" s="19" t="s">
        <v>518</v>
      </c>
    </row>
    <row r="173" customFormat="false" ht="15" hidden="false" customHeight="false" outlineLevel="0" collapsed="false">
      <c r="A173" s="19" t="s">
        <v>508</v>
      </c>
      <c r="B173" s="19" t="s">
        <v>519</v>
      </c>
      <c r="C173" s="19" t="s">
        <v>437</v>
      </c>
      <c r="D173" s="19"/>
    </row>
    <row r="174" customFormat="false" ht="15" hidden="false" customHeight="false" outlineLevel="0" collapsed="false">
      <c r="A174" s="19" t="s">
        <v>508</v>
      </c>
      <c r="B174" s="19" t="s">
        <v>520</v>
      </c>
      <c r="C174" s="19" t="s">
        <v>488</v>
      </c>
      <c r="D174" s="19" t="s">
        <v>521</v>
      </c>
    </row>
    <row r="175" customFormat="false" ht="15" hidden="false" customHeight="false" outlineLevel="0" collapsed="false">
      <c r="A175" s="19" t="s">
        <v>508</v>
      </c>
      <c r="B175" s="19" t="s">
        <v>522</v>
      </c>
      <c r="C175" s="19" t="s">
        <v>435</v>
      </c>
      <c r="D175" s="19"/>
    </row>
    <row r="176" customFormat="false" ht="15" hidden="false" customHeight="false" outlineLevel="0" collapsed="false">
      <c r="A176" s="19" t="s">
        <v>508</v>
      </c>
      <c r="B176" s="19" t="s">
        <v>523</v>
      </c>
      <c r="C176" s="19" t="s">
        <v>488</v>
      </c>
      <c r="D176" s="19"/>
    </row>
    <row r="177" customFormat="false" ht="15" hidden="false" customHeight="false" outlineLevel="0" collapsed="false">
      <c r="A177" s="19" t="s">
        <v>508</v>
      </c>
      <c r="B177" s="19" t="s">
        <v>524</v>
      </c>
      <c r="C177" s="19" t="s">
        <v>354</v>
      </c>
      <c r="D177" s="19"/>
    </row>
    <row r="178" customFormat="false" ht="23.85" hidden="false" customHeight="false" outlineLevel="0" collapsed="false">
      <c r="A178" s="19" t="s">
        <v>508</v>
      </c>
      <c r="B178" s="19" t="s">
        <v>525</v>
      </c>
      <c r="C178" s="19" t="s">
        <v>439</v>
      </c>
      <c r="D178" s="19" t="s">
        <v>526</v>
      </c>
    </row>
    <row r="179" customFormat="false" ht="15" hidden="false" customHeight="false" outlineLevel="0" collapsed="false">
      <c r="A179" s="19" t="s">
        <v>508</v>
      </c>
      <c r="B179" s="19" t="s">
        <v>334</v>
      </c>
      <c r="C179" s="19" t="s">
        <v>335</v>
      </c>
      <c r="D179" s="19"/>
    </row>
    <row r="180" customFormat="false" ht="15" hidden="false" customHeight="false" outlineLevel="0" collapsed="false">
      <c r="A180" s="19" t="s">
        <v>508</v>
      </c>
      <c r="B180" s="19" t="s">
        <v>334</v>
      </c>
      <c r="C180" s="19" t="s">
        <v>527</v>
      </c>
      <c r="D180" s="19"/>
    </row>
    <row r="181" customFormat="false" ht="23.85" hidden="false" customHeight="false" outlineLevel="0" collapsed="false">
      <c r="A181" s="19" t="s">
        <v>508</v>
      </c>
      <c r="B181" s="19" t="s">
        <v>334</v>
      </c>
      <c r="C181" s="19" t="s">
        <v>528</v>
      </c>
      <c r="D181" s="19"/>
    </row>
    <row r="182" customFormat="false" ht="15" hidden="false" customHeight="false" outlineLevel="0" collapsed="false">
      <c r="A182" s="19" t="s">
        <v>508</v>
      </c>
      <c r="B182" s="19" t="s">
        <v>334</v>
      </c>
      <c r="C182" s="19" t="s">
        <v>494</v>
      </c>
      <c r="D182" s="19"/>
    </row>
    <row r="183" customFormat="false" ht="15" hidden="false" customHeight="false" outlineLevel="0" collapsed="false">
      <c r="A183" s="19" t="s">
        <v>508</v>
      </c>
      <c r="B183" s="19" t="s">
        <v>334</v>
      </c>
      <c r="C183" s="19" t="s">
        <v>529</v>
      </c>
      <c r="D183" s="19"/>
    </row>
    <row r="184" customFormat="false" ht="15" hidden="false" customHeight="false" outlineLevel="0" collapsed="false">
      <c r="A184" s="19" t="s">
        <v>508</v>
      </c>
      <c r="B184" s="19" t="s">
        <v>334</v>
      </c>
      <c r="C184" s="19" t="s">
        <v>530</v>
      </c>
      <c r="D184" s="19"/>
    </row>
    <row r="185" customFormat="false" ht="15" hidden="false" customHeight="false" outlineLevel="0" collapsed="false">
      <c r="A185" s="19" t="s">
        <v>508</v>
      </c>
      <c r="B185" s="19" t="s">
        <v>334</v>
      </c>
      <c r="C185" s="19" t="s">
        <v>531</v>
      </c>
      <c r="D185" s="19"/>
    </row>
    <row r="186" customFormat="false" ht="46.25" hidden="false" customHeight="false" outlineLevel="0" collapsed="false">
      <c r="A186" s="20" t="s">
        <v>532</v>
      </c>
      <c r="B186" s="20"/>
      <c r="C186" s="20"/>
      <c r="D186" s="20"/>
    </row>
    <row r="187" customFormat="false" ht="15" hidden="false" customHeight="false" outlineLevel="0" collapsed="false">
      <c r="A187" s="19" t="s">
        <v>533</v>
      </c>
      <c r="B187" s="19" t="s">
        <v>325</v>
      </c>
      <c r="C187" s="19" t="s">
        <v>326</v>
      </c>
      <c r="D187" s="19" t="s">
        <v>534</v>
      </c>
    </row>
    <row r="188" customFormat="false" ht="15" hidden="false" customHeight="false" outlineLevel="0" collapsed="false">
      <c r="A188" s="19" t="s">
        <v>533</v>
      </c>
      <c r="B188" s="19" t="s">
        <v>511</v>
      </c>
      <c r="C188" s="19" t="s">
        <v>388</v>
      </c>
      <c r="D188" s="19" t="s">
        <v>535</v>
      </c>
    </row>
    <row r="189" customFormat="false" ht="15" hidden="false" customHeight="false" outlineLevel="0" collapsed="false">
      <c r="A189" s="19" t="s">
        <v>533</v>
      </c>
      <c r="B189" s="19" t="s">
        <v>536</v>
      </c>
      <c r="C189" s="19" t="s">
        <v>537</v>
      </c>
      <c r="D189" s="19" t="s">
        <v>538</v>
      </c>
    </row>
    <row r="190" customFormat="false" ht="15" hidden="false" customHeight="false" outlineLevel="0" collapsed="false">
      <c r="A190" s="19" t="s">
        <v>533</v>
      </c>
      <c r="B190" s="19" t="s">
        <v>477</v>
      </c>
      <c r="C190" s="19" t="s">
        <v>354</v>
      </c>
      <c r="D190" s="19"/>
    </row>
    <row r="191" customFormat="false" ht="15" hidden="false" customHeight="false" outlineLevel="0" collapsed="false">
      <c r="A191" s="19" t="s">
        <v>533</v>
      </c>
      <c r="B191" s="19" t="s">
        <v>486</v>
      </c>
      <c r="C191" s="19" t="s">
        <v>354</v>
      </c>
      <c r="D191" s="19"/>
    </row>
    <row r="192" customFormat="false" ht="15" hidden="false" customHeight="false" outlineLevel="0" collapsed="false">
      <c r="A192" s="19" t="s">
        <v>533</v>
      </c>
      <c r="B192" s="19" t="s">
        <v>509</v>
      </c>
      <c r="C192" s="19" t="s">
        <v>437</v>
      </c>
      <c r="D192" s="19"/>
    </row>
    <row r="193" customFormat="false" ht="15" hidden="false" customHeight="false" outlineLevel="0" collapsed="false">
      <c r="A193" s="19" t="s">
        <v>533</v>
      </c>
      <c r="B193" s="19" t="s">
        <v>539</v>
      </c>
      <c r="C193" s="19" t="s">
        <v>326</v>
      </c>
      <c r="D193" s="19"/>
    </row>
    <row r="194" customFormat="false" ht="15" hidden="false" customHeight="false" outlineLevel="0" collapsed="false">
      <c r="A194" s="19" t="s">
        <v>533</v>
      </c>
      <c r="B194" s="19" t="s">
        <v>540</v>
      </c>
      <c r="C194" s="19" t="s">
        <v>331</v>
      </c>
      <c r="D194" s="19"/>
    </row>
    <row r="195" customFormat="false" ht="15" hidden="false" customHeight="false" outlineLevel="0" collapsed="false">
      <c r="A195" s="19" t="s">
        <v>533</v>
      </c>
      <c r="B195" s="19" t="s">
        <v>541</v>
      </c>
      <c r="C195" s="19" t="s">
        <v>488</v>
      </c>
      <c r="D195" s="19" t="s">
        <v>542</v>
      </c>
    </row>
    <row r="196" customFormat="false" ht="15" hidden="false" customHeight="false" outlineLevel="0" collapsed="false">
      <c r="A196" s="19" t="s">
        <v>533</v>
      </c>
      <c r="B196" s="19" t="s">
        <v>543</v>
      </c>
      <c r="C196" s="19" t="s">
        <v>346</v>
      </c>
      <c r="D196" s="19" t="s">
        <v>544</v>
      </c>
    </row>
    <row r="197" customFormat="false" ht="15" hidden="false" customHeight="false" outlineLevel="0" collapsed="false">
      <c r="A197" s="19" t="s">
        <v>533</v>
      </c>
      <c r="B197" s="19" t="s">
        <v>545</v>
      </c>
      <c r="C197" s="19" t="s">
        <v>546</v>
      </c>
      <c r="D197" s="19" t="s">
        <v>547</v>
      </c>
    </row>
    <row r="198" customFormat="false" ht="15" hidden="false" customHeight="false" outlineLevel="0" collapsed="false">
      <c r="A198" s="19" t="s">
        <v>533</v>
      </c>
      <c r="B198" s="19" t="s">
        <v>548</v>
      </c>
      <c r="C198" s="19" t="s">
        <v>354</v>
      </c>
      <c r="D198" s="19" t="s">
        <v>549</v>
      </c>
    </row>
    <row r="199" customFormat="false" ht="15" hidden="false" customHeight="false" outlineLevel="0" collapsed="false">
      <c r="A199" s="19" t="s">
        <v>533</v>
      </c>
      <c r="B199" s="19" t="s">
        <v>334</v>
      </c>
      <c r="C199" s="19" t="s">
        <v>335</v>
      </c>
      <c r="D199" s="19"/>
    </row>
    <row r="200" customFormat="false" ht="15" hidden="false" customHeight="false" outlineLevel="0" collapsed="false">
      <c r="A200" s="19" t="s">
        <v>533</v>
      </c>
      <c r="B200" s="19" t="s">
        <v>334</v>
      </c>
      <c r="C200" s="19" t="s">
        <v>550</v>
      </c>
      <c r="D200" s="19"/>
    </row>
    <row r="201" customFormat="false" ht="15" hidden="false" customHeight="false" outlineLevel="0" collapsed="false">
      <c r="A201" s="19" t="s">
        <v>533</v>
      </c>
      <c r="B201" s="19" t="s">
        <v>334</v>
      </c>
      <c r="C201" s="19" t="s">
        <v>551</v>
      </c>
      <c r="D201" s="19"/>
    </row>
    <row r="202" customFormat="false" ht="15" hidden="false" customHeight="false" outlineLevel="0" collapsed="false">
      <c r="A202" s="19" t="s">
        <v>533</v>
      </c>
      <c r="B202" s="19" t="s">
        <v>334</v>
      </c>
      <c r="C202" s="19" t="s">
        <v>481</v>
      </c>
      <c r="D202" s="19"/>
    </row>
    <row r="203" customFormat="false" ht="15" hidden="false" customHeight="false" outlineLevel="0" collapsed="false">
      <c r="A203" s="19" t="s">
        <v>533</v>
      </c>
      <c r="B203" s="19" t="s">
        <v>334</v>
      </c>
      <c r="C203" s="19" t="s">
        <v>494</v>
      </c>
      <c r="D203" s="19"/>
    </row>
    <row r="204" customFormat="false" ht="15" hidden="false" customHeight="false" outlineLevel="0" collapsed="false">
      <c r="A204" s="19" t="s">
        <v>533</v>
      </c>
      <c r="B204" s="19" t="s">
        <v>334</v>
      </c>
      <c r="C204" s="19" t="s">
        <v>552</v>
      </c>
      <c r="D204" s="19"/>
    </row>
    <row r="205" customFormat="false" ht="15" hidden="false" customHeight="false" outlineLevel="0" collapsed="false">
      <c r="A205" s="19" t="s">
        <v>533</v>
      </c>
      <c r="B205" s="19" t="s">
        <v>334</v>
      </c>
      <c r="C205" s="19" t="s">
        <v>553</v>
      </c>
      <c r="D205" s="19"/>
    </row>
    <row r="206" customFormat="false" ht="57.45" hidden="false" customHeight="false" outlineLevel="0" collapsed="false">
      <c r="A206" s="20" t="s">
        <v>554</v>
      </c>
      <c r="B206" s="20"/>
      <c r="C206" s="20"/>
      <c r="D206" s="20"/>
    </row>
    <row r="207" customFormat="false" ht="15" hidden="false" customHeight="false" outlineLevel="0" collapsed="false">
      <c r="A207" s="19" t="s">
        <v>555</v>
      </c>
      <c r="B207" s="19" t="s">
        <v>325</v>
      </c>
      <c r="C207" s="19" t="s">
        <v>326</v>
      </c>
      <c r="D207" s="19" t="s">
        <v>327</v>
      </c>
    </row>
    <row r="208" customFormat="false" ht="23.85" hidden="false" customHeight="false" outlineLevel="0" collapsed="false">
      <c r="A208" s="19" t="s">
        <v>555</v>
      </c>
      <c r="B208" s="19" t="s">
        <v>511</v>
      </c>
      <c r="C208" s="19" t="s">
        <v>556</v>
      </c>
      <c r="D208" s="19"/>
    </row>
    <row r="209" customFormat="false" ht="15" hidden="false" customHeight="false" outlineLevel="0" collapsed="false">
      <c r="A209" s="19" t="s">
        <v>555</v>
      </c>
      <c r="B209" s="19" t="s">
        <v>477</v>
      </c>
      <c r="C209" s="19" t="s">
        <v>354</v>
      </c>
      <c r="D209" s="19"/>
    </row>
    <row r="210" customFormat="false" ht="15" hidden="false" customHeight="false" outlineLevel="0" collapsed="false">
      <c r="A210" s="19" t="s">
        <v>555</v>
      </c>
      <c r="B210" s="19" t="s">
        <v>486</v>
      </c>
      <c r="C210" s="19" t="s">
        <v>354</v>
      </c>
      <c r="D210" s="19"/>
    </row>
    <row r="211" customFormat="false" ht="15" hidden="false" customHeight="false" outlineLevel="0" collapsed="false">
      <c r="A211" s="19" t="s">
        <v>555</v>
      </c>
      <c r="B211" s="19" t="s">
        <v>557</v>
      </c>
      <c r="C211" s="19" t="s">
        <v>354</v>
      </c>
      <c r="D211" s="19"/>
    </row>
    <row r="212" customFormat="false" ht="15" hidden="false" customHeight="false" outlineLevel="0" collapsed="false">
      <c r="A212" s="19" t="s">
        <v>555</v>
      </c>
      <c r="B212" s="19" t="s">
        <v>558</v>
      </c>
      <c r="C212" s="19" t="s">
        <v>346</v>
      </c>
      <c r="D212" s="19"/>
    </row>
    <row r="213" customFormat="false" ht="15" hidden="false" customHeight="false" outlineLevel="0" collapsed="false">
      <c r="A213" s="19" t="s">
        <v>555</v>
      </c>
      <c r="B213" s="19" t="s">
        <v>559</v>
      </c>
      <c r="C213" s="19" t="s">
        <v>354</v>
      </c>
      <c r="D213" s="19"/>
    </row>
    <row r="214" customFormat="false" ht="15" hidden="false" customHeight="false" outlineLevel="0" collapsed="false">
      <c r="A214" s="19" t="s">
        <v>555</v>
      </c>
      <c r="B214" s="19" t="s">
        <v>560</v>
      </c>
      <c r="C214" s="19" t="s">
        <v>488</v>
      </c>
      <c r="D214" s="19"/>
    </row>
    <row r="215" customFormat="false" ht="15" hidden="false" customHeight="false" outlineLevel="0" collapsed="false">
      <c r="A215" s="19" t="s">
        <v>555</v>
      </c>
      <c r="B215" s="19" t="s">
        <v>561</v>
      </c>
      <c r="C215" s="19" t="s">
        <v>491</v>
      </c>
      <c r="D215" s="19"/>
    </row>
    <row r="216" customFormat="false" ht="15" hidden="false" customHeight="false" outlineLevel="0" collapsed="false">
      <c r="A216" s="19" t="s">
        <v>555</v>
      </c>
      <c r="B216" s="19" t="s">
        <v>334</v>
      </c>
      <c r="C216" s="19" t="s">
        <v>335</v>
      </c>
      <c r="D216" s="19"/>
    </row>
    <row r="217" customFormat="false" ht="15" hidden="false" customHeight="false" outlineLevel="0" collapsed="false">
      <c r="A217" s="19" t="s">
        <v>555</v>
      </c>
      <c r="B217" s="19" t="s">
        <v>334</v>
      </c>
      <c r="C217" s="19" t="s">
        <v>562</v>
      </c>
      <c r="D217" s="19"/>
    </row>
    <row r="218" customFormat="false" ht="15" hidden="false" customHeight="false" outlineLevel="0" collapsed="false">
      <c r="A218" s="19" t="s">
        <v>555</v>
      </c>
      <c r="B218" s="19" t="s">
        <v>334</v>
      </c>
      <c r="C218" s="19" t="s">
        <v>481</v>
      </c>
      <c r="D218" s="19"/>
    </row>
    <row r="219" customFormat="false" ht="15" hidden="false" customHeight="false" outlineLevel="0" collapsed="false">
      <c r="A219" s="19" t="s">
        <v>555</v>
      </c>
      <c r="B219" s="19" t="s">
        <v>334</v>
      </c>
      <c r="C219" s="19" t="s">
        <v>494</v>
      </c>
      <c r="D219" s="19"/>
    </row>
    <row r="220" customFormat="false" ht="15" hidden="false" customHeight="false" outlineLevel="0" collapsed="false">
      <c r="A220" s="19" t="s">
        <v>555</v>
      </c>
      <c r="B220" s="19" t="s">
        <v>334</v>
      </c>
      <c r="C220" s="19" t="s">
        <v>563</v>
      </c>
      <c r="D220" s="19"/>
    </row>
    <row r="221" customFormat="false" ht="15" hidden="false" customHeight="false" outlineLevel="0" collapsed="false">
      <c r="A221" s="19" t="s">
        <v>555</v>
      </c>
      <c r="B221" s="19" t="s">
        <v>334</v>
      </c>
      <c r="C221" s="19" t="s">
        <v>564</v>
      </c>
      <c r="D221" s="19"/>
    </row>
    <row r="222" customFormat="false" ht="68.65" hidden="false" customHeight="false" outlineLevel="0" collapsed="false">
      <c r="A222" s="20" t="s">
        <v>565</v>
      </c>
      <c r="B222" s="20"/>
      <c r="C222" s="20"/>
      <c r="D222" s="20"/>
    </row>
    <row r="223" customFormat="false" ht="15" hidden="false" customHeight="false" outlineLevel="0" collapsed="false">
      <c r="A223" s="19" t="s">
        <v>566</v>
      </c>
      <c r="B223" s="19" t="s">
        <v>325</v>
      </c>
      <c r="C223" s="19" t="s">
        <v>326</v>
      </c>
      <c r="D223" s="19" t="s">
        <v>327</v>
      </c>
    </row>
    <row r="224" customFormat="false" ht="15" hidden="false" customHeight="false" outlineLevel="0" collapsed="false">
      <c r="A224" s="19" t="s">
        <v>566</v>
      </c>
      <c r="B224" s="19" t="s">
        <v>477</v>
      </c>
      <c r="C224" s="19" t="s">
        <v>326</v>
      </c>
      <c r="D224" s="19"/>
    </row>
    <row r="225" customFormat="false" ht="15" hidden="false" customHeight="false" outlineLevel="0" collapsed="false">
      <c r="A225" s="19" t="s">
        <v>566</v>
      </c>
      <c r="B225" s="19" t="s">
        <v>567</v>
      </c>
      <c r="C225" s="19" t="s">
        <v>326</v>
      </c>
      <c r="D225" s="19"/>
    </row>
    <row r="226" customFormat="false" ht="15" hidden="false" customHeight="false" outlineLevel="0" collapsed="false">
      <c r="A226" s="19" t="s">
        <v>566</v>
      </c>
      <c r="B226" s="19" t="s">
        <v>568</v>
      </c>
      <c r="C226" s="19" t="s">
        <v>367</v>
      </c>
      <c r="D226" s="19"/>
    </row>
    <row r="227" customFormat="false" ht="15" hidden="false" customHeight="false" outlineLevel="0" collapsed="false">
      <c r="A227" s="19" t="s">
        <v>566</v>
      </c>
      <c r="B227" s="19" t="s">
        <v>569</v>
      </c>
      <c r="C227" s="19" t="s">
        <v>367</v>
      </c>
      <c r="D227" s="19" t="s">
        <v>570</v>
      </c>
    </row>
    <row r="228" customFormat="false" ht="15" hidden="false" customHeight="false" outlineLevel="0" collapsed="false">
      <c r="A228" s="19" t="s">
        <v>566</v>
      </c>
      <c r="B228" s="19" t="s">
        <v>487</v>
      </c>
      <c r="C228" s="19" t="s">
        <v>488</v>
      </c>
      <c r="D228" s="19" t="s">
        <v>571</v>
      </c>
    </row>
    <row r="229" customFormat="false" ht="15" hidden="false" customHeight="false" outlineLevel="0" collapsed="false">
      <c r="A229" s="19" t="s">
        <v>566</v>
      </c>
      <c r="B229" s="19" t="s">
        <v>334</v>
      </c>
      <c r="C229" s="19" t="s">
        <v>335</v>
      </c>
      <c r="D229" s="19"/>
    </row>
    <row r="230" customFormat="false" ht="15" hidden="false" customHeight="false" outlineLevel="0" collapsed="false">
      <c r="A230" s="19" t="s">
        <v>566</v>
      </c>
      <c r="B230" s="19" t="s">
        <v>334</v>
      </c>
      <c r="C230" s="19" t="s">
        <v>572</v>
      </c>
      <c r="D230" s="19"/>
    </row>
    <row r="231" customFormat="false" ht="15" hidden="false" customHeight="false" outlineLevel="0" collapsed="false">
      <c r="A231" s="19" t="s">
        <v>566</v>
      </c>
      <c r="B231" s="19" t="s">
        <v>334</v>
      </c>
      <c r="C231" s="19" t="s">
        <v>481</v>
      </c>
      <c r="D231" s="19"/>
    </row>
    <row r="232" customFormat="false" ht="15" hidden="false" customHeight="false" outlineLevel="0" collapsed="false">
      <c r="A232" s="19" t="s">
        <v>566</v>
      </c>
      <c r="B232" s="19" t="s">
        <v>334</v>
      </c>
      <c r="C232" s="19" t="s">
        <v>573</v>
      </c>
      <c r="D232" s="19"/>
    </row>
    <row r="233" customFormat="false" ht="46.25" hidden="false" customHeight="false" outlineLevel="0" collapsed="false">
      <c r="A233" s="20" t="s">
        <v>574</v>
      </c>
      <c r="B233" s="20"/>
      <c r="C233" s="20"/>
      <c r="D233" s="20"/>
    </row>
    <row r="234" customFormat="false" ht="15" hidden="false" customHeight="false" outlineLevel="0" collapsed="false">
      <c r="A234" s="19" t="s">
        <v>575</v>
      </c>
      <c r="B234" s="19" t="s">
        <v>325</v>
      </c>
      <c r="C234" s="19" t="s">
        <v>326</v>
      </c>
      <c r="D234" s="19" t="s">
        <v>327</v>
      </c>
    </row>
    <row r="235" customFormat="false" ht="15" hidden="false" customHeight="false" outlineLevel="0" collapsed="false">
      <c r="A235" s="19" t="s">
        <v>575</v>
      </c>
      <c r="B235" s="19" t="s">
        <v>444</v>
      </c>
      <c r="C235" s="19" t="s">
        <v>326</v>
      </c>
      <c r="D235" s="19"/>
    </row>
    <row r="236" customFormat="false" ht="15" hidden="false" customHeight="false" outlineLevel="0" collapsed="false">
      <c r="A236" s="19" t="s">
        <v>575</v>
      </c>
      <c r="B236" s="19" t="s">
        <v>576</v>
      </c>
      <c r="C236" s="19" t="s">
        <v>577</v>
      </c>
      <c r="D236" s="19" t="s">
        <v>578</v>
      </c>
    </row>
    <row r="237" customFormat="false" ht="15" hidden="false" customHeight="false" outlineLevel="0" collapsed="false">
      <c r="A237" s="19" t="s">
        <v>575</v>
      </c>
      <c r="B237" s="19" t="s">
        <v>409</v>
      </c>
      <c r="C237" s="19" t="s">
        <v>354</v>
      </c>
      <c r="D237" s="19"/>
    </row>
    <row r="238" customFormat="false" ht="15" hidden="false" customHeight="false" outlineLevel="0" collapsed="false">
      <c r="A238" s="19" t="s">
        <v>575</v>
      </c>
      <c r="B238" s="19" t="s">
        <v>579</v>
      </c>
      <c r="C238" s="19" t="s">
        <v>437</v>
      </c>
      <c r="D238" s="19"/>
    </row>
    <row r="239" customFormat="false" ht="15" hidden="false" customHeight="false" outlineLevel="0" collapsed="false">
      <c r="A239" s="19" t="s">
        <v>575</v>
      </c>
      <c r="B239" s="19" t="s">
        <v>580</v>
      </c>
      <c r="C239" s="19" t="s">
        <v>437</v>
      </c>
      <c r="D239" s="19"/>
    </row>
    <row r="240" customFormat="false" ht="15" hidden="false" customHeight="false" outlineLevel="0" collapsed="false">
      <c r="A240" s="19" t="s">
        <v>575</v>
      </c>
      <c r="B240" s="19" t="s">
        <v>581</v>
      </c>
      <c r="C240" s="19" t="s">
        <v>376</v>
      </c>
      <c r="D240" s="19"/>
    </row>
    <row r="241" customFormat="false" ht="15" hidden="false" customHeight="false" outlineLevel="0" collapsed="false">
      <c r="A241" s="19" t="s">
        <v>575</v>
      </c>
      <c r="B241" s="19" t="s">
        <v>582</v>
      </c>
      <c r="C241" s="19" t="s">
        <v>380</v>
      </c>
      <c r="D241" s="19" t="s">
        <v>583</v>
      </c>
    </row>
    <row r="242" customFormat="false" ht="15" hidden="false" customHeight="false" outlineLevel="0" collapsed="false">
      <c r="A242" s="19" t="s">
        <v>575</v>
      </c>
      <c r="B242" s="19" t="s">
        <v>584</v>
      </c>
      <c r="C242" s="19" t="s">
        <v>326</v>
      </c>
      <c r="D242" s="19"/>
    </row>
    <row r="243" customFormat="false" ht="15" hidden="false" customHeight="false" outlineLevel="0" collapsed="false">
      <c r="A243" s="19" t="s">
        <v>575</v>
      </c>
      <c r="B243" s="19" t="s">
        <v>517</v>
      </c>
      <c r="C243" s="19" t="s">
        <v>435</v>
      </c>
      <c r="D243" s="19"/>
    </row>
    <row r="244" customFormat="false" ht="23.85" hidden="false" customHeight="false" outlineLevel="0" collapsed="false">
      <c r="A244" s="19" t="s">
        <v>575</v>
      </c>
      <c r="B244" s="19" t="s">
        <v>585</v>
      </c>
      <c r="C244" s="19" t="s">
        <v>546</v>
      </c>
      <c r="D244" s="19" t="s">
        <v>586</v>
      </c>
    </row>
    <row r="245" customFormat="false" ht="15" hidden="false" customHeight="false" outlineLevel="0" collapsed="false">
      <c r="A245" s="19" t="s">
        <v>575</v>
      </c>
      <c r="B245" s="19" t="s">
        <v>334</v>
      </c>
      <c r="C245" s="19" t="s">
        <v>335</v>
      </c>
      <c r="D245" s="19"/>
    </row>
    <row r="246" customFormat="false" ht="15" hidden="false" customHeight="false" outlineLevel="0" collapsed="false">
      <c r="A246" s="19" t="s">
        <v>575</v>
      </c>
      <c r="B246" s="19" t="s">
        <v>334</v>
      </c>
      <c r="C246" s="19" t="s">
        <v>587</v>
      </c>
      <c r="D246" s="19"/>
    </row>
    <row r="247" customFormat="false" ht="15" hidden="false" customHeight="false" outlineLevel="0" collapsed="false">
      <c r="A247" s="19" t="s">
        <v>575</v>
      </c>
      <c r="B247" s="19" t="s">
        <v>334</v>
      </c>
      <c r="C247" s="19" t="s">
        <v>472</v>
      </c>
      <c r="D247" s="19"/>
    </row>
    <row r="248" customFormat="false" ht="15" hidden="false" customHeight="false" outlineLevel="0" collapsed="false">
      <c r="A248" s="19" t="s">
        <v>575</v>
      </c>
      <c r="B248" s="19" t="s">
        <v>334</v>
      </c>
      <c r="C248" s="19" t="s">
        <v>420</v>
      </c>
      <c r="D248" s="19"/>
    </row>
    <row r="249" customFormat="false" ht="15" hidden="false" customHeight="false" outlineLevel="0" collapsed="false">
      <c r="A249" s="19" t="s">
        <v>575</v>
      </c>
      <c r="B249" s="19" t="s">
        <v>334</v>
      </c>
      <c r="C249" s="19" t="s">
        <v>588</v>
      </c>
      <c r="D249" s="19"/>
    </row>
    <row r="250" customFormat="false" ht="35.05" hidden="false" customHeight="false" outlineLevel="0" collapsed="false">
      <c r="A250" s="20" t="s">
        <v>589</v>
      </c>
      <c r="B250" s="20"/>
      <c r="C250" s="20"/>
      <c r="D250" s="20"/>
    </row>
    <row r="251" customFormat="false" ht="15" hidden="false" customHeight="false" outlineLevel="0" collapsed="false">
      <c r="A251" s="19" t="s">
        <v>590</v>
      </c>
      <c r="B251" s="19" t="s">
        <v>325</v>
      </c>
      <c r="C251" s="19" t="s">
        <v>326</v>
      </c>
      <c r="D251" s="19" t="s">
        <v>327</v>
      </c>
    </row>
    <row r="252" customFormat="false" ht="15" hidden="false" customHeight="false" outlineLevel="0" collapsed="false">
      <c r="A252" s="19" t="s">
        <v>590</v>
      </c>
      <c r="B252" s="19" t="s">
        <v>444</v>
      </c>
      <c r="C252" s="19" t="s">
        <v>326</v>
      </c>
      <c r="D252" s="19"/>
    </row>
    <row r="253" customFormat="false" ht="15" hidden="false" customHeight="false" outlineLevel="0" collapsed="false">
      <c r="A253" s="19" t="s">
        <v>590</v>
      </c>
      <c r="B253" s="19" t="s">
        <v>591</v>
      </c>
      <c r="C253" s="19" t="s">
        <v>364</v>
      </c>
      <c r="D253" s="19"/>
    </row>
    <row r="254" customFormat="false" ht="15" hidden="false" customHeight="false" outlineLevel="0" collapsed="false">
      <c r="A254" s="19" t="s">
        <v>590</v>
      </c>
      <c r="B254" s="19" t="s">
        <v>366</v>
      </c>
      <c r="C254" s="19" t="s">
        <v>367</v>
      </c>
      <c r="D254" s="19"/>
    </row>
    <row r="255" customFormat="false" ht="15" hidden="false" customHeight="false" outlineLevel="0" collapsed="false">
      <c r="A255" s="19" t="s">
        <v>590</v>
      </c>
      <c r="B255" s="19" t="s">
        <v>592</v>
      </c>
      <c r="C255" s="19" t="s">
        <v>463</v>
      </c>
      <c r="D255" s="19" t="s">
        <v>593</v>
      </c>
    </row>
    <row r="256" customFormat="false" ht="15" hidden="false" customHeight="false" outlineLevel="0" collapsed="false">
      <c r="A256" s="19" t="s">
        <v>590</v>
      </c>
      <c r="B256" s="19" t="s">
        <v>594</v>
      </c>
      <c r="C256" s="19" t="s">
        <v>488</v>
      </c>
      <c r="D256" s="19"/>
    </row>
    <row r="257" customFormat="false" ht="15" hidden="false" customHeight="false" outlineLevel="0" collapsed="false">
      <c r="A257" s="19" t="s">
        <v>590</v>
      </c>
      <c r="B257" s="19" t="s">
        <v>595</v>
      </c>
      <c r="C257" s="19" t="s">
        <v>488</v>
      </c>
      <c r="D257" s="19"/>
    </row>
    <row r="258" customFormat="false" ht="15" hidden="false" customHeight="false" outlineLevel="0" collapsed="false">
      <c r="A258" s="19" t="s">
        <v>590</v>
      </c>
      <c r="B258" s="19" t="s">
        <v>345</v>
      </c>
      <c r="C258" s="19" t="s">
        <v>346</v>
      </c>
      <c r="D258" s="19"/>
    </row>
    <row r="259" customFormat="false" ht="23.85" hidden="false" customHeight="false" outlineLevel="0" collapsed="false">
      <c r="A259" s="19" t="s">
        <v>590</v>
      </c>
      <c r="B259" s="19" t="s">
        <v>525</v>
      </c>
      <c r="C259" s="19" t="s">
        <v>354</v>
      </c>
      <c r="D259" s="19" t="s">
        <v>596</v>
      </c>
    </row>
    <row r="260" customFormat="false" ht="15" hidden="false" customHeight="false" outlineLevel="0" collapsed="false">
      <c r="A260" s="19" t="s">
        <v>590</v>
      </c>
      <c r="B260" s="19" t="s">
        <v>334</v>
      </c>
      <c r="C260" s="19" t="s">
        <v>335</v>
      </c>
      <c r="D260" s="19"/>
    </row>
    <row r="261" customFormat="false" ht="15" hidden="false" customHeight="false" outlineLevel="0" collapsed="false">
      <c r="A261" s="19" t="s">
        <v>590</v>
      </c>
      <c r="B261" s="19" t="s">
        <v>334</v>
      </c>
      <c r="C261" s="19" t="s">
        <v>597</v>
      </c>
      <c r="D261" s="19"/>
    </row>
    <row r="262" customFormat="false" ht="15" hidden="false" customHeight="false" outlineLevel="0" collapsed="false">
      <c r="A262" s="19" t="s">
        <v>590</v>
      </c>
      <c r="B262" s="19" t="s">
        <v>334</v>
      </c>
      <c r="C262" s="19" t="s">
        <v>472</v>
      </c>
      <c r="D262" s="19"/>
    </row>
    <row r="263" customFormat="false" ht="35.05" hidden="false" customHeight="false" outlineLevel="0" collapsed="false">
      <c r="A263" s="20" t="s">
        <v>598</v>
      </c>
      <c r="B263" s="20"/>
      <c r="C263" s="20"/>
      <c r="D263" s="20"/>
    </row>
    <row r="264" customFormat="false" ht="15" hidden="false" customHeight="false" outlineLevel="0" collapsed="false">
      <c r="A264" s="19" t="s">
        <v>599</v>
      </c>
      <c r="B264" s="19" t="s">
        <v>325</v>
      </c>
      <c r="C264" s="19" t="s">
        <v>326</v>
      </c>
      <c r="D264" s="19" t="s">
        <v>327</v>
      </c>
    </row>
    <row r="265" customFormat="false" ht="15" hidden="false" customHeight="false" outlineLevel="0" collapsed="false">
      <c r="A265" s="19" t="s">
        <v>599</v>
      </c>
      <c r="B265" s="19" t="s">
        <v>444</v>
      </c>
      <c r="C265" s="19" t="s">
        <v>326</v>
      </c>
      <c r="D265" s="19"/>
    </row>
    <row r="266" customFormat="false" ht="15" hidden="false" customHeight="false" outlineLevel="0" collapsed="false">
      <c r="A266" s="19" t="s">
        <v>599</v>
      </c>
      <c r="B266" s="19" t="s">
        <v>600</v>
      </c>
      <c r="C266" s="19" t="s">
        <v>380</v>
      </c>
      <c r="D266" s="19"/>
    </row>
    <row r="267" customFormat="false" ht="15" hidden="false" customHeight="false" outlineLevel="0" collapsed="false">
      <c r="A267" s="19" t="s">
        <v>599</v>
      </c>
      <c r="B267" s="19" t="s">
        <v>601</v>
      </c>
      <c r="C267" s="19" t="s">
        <v>326</v>
      </c>
      <c r="D267" s="19"/>
    </row>
    <row r="268" customFormat="false" ht="15" hidden="false" customHeight="false" outlineLevel="0" collapsed="false">
      <c r="A268" s="19" t="s">
        <v>599</v>
      </c>
      <c r="B268" s="19" t="s">
        <v>602</v>
      </c>
      <c r="C268" s="19" t="s">
        <v>603</v>
      </c>
      <c r="D268" s="19"/>
    </row>
    <row r="269" customFormat="false" ht="15" hidden="false" customHeight="false" outlineLevel="0" collapsed="false">
      <c r="A269" s="19" t="s">
        <v>599</v>
      </c>
      <c r="B269" s="19" t="s">
        <v>604</v>
      </c>
      <c r="C269" s="19" t="s">
        <v>338</v>
      </c>
      <c r="D269" s="19"/>
    </row>
    <row r="270" customFormat="false" ht="15" hidden="false" customHeight="false" outlineLevel="0" collapsed="false">
      <c r="A270" s="19" t="s">
        <v>599</v>
      </c>
      <c r="B270" s="19" t="s">
        <v>605</v>
      </c>
      <c r="C270" s="19" t="s">
        <v>606</v>
      </c>
      <c r="D270" s="19"/>
    </row>
    <row r="271" customFormat="false" ht="15" hidden="false" customHeight="false" outlineLevel="0" collapsed="false">
      <c r="A271" s="19" t="s">
        <v>599</v>
      </c>
      <c r="B271" s="19" t="s">
        <v>515</v>
      </c>
      <c r="C271" s="19" t="s">
        <v>354</v>
      </c>
      <c r="D271" s="19" t="s">
        <v>607</v>
      </c>
    </row>
    <row r="272" customFormat="false" ht="15" hidden="false" customHeight="false" outlineLevel="0" collapsed="false">
      <c r="A272" s="19" t="s">
        <v>599</v>
      </c>
      <c r="B272" s="19" t="s">
        <v>517</v>
      </c>
      <c r="C272" s="19" t="s">
        <v>435</v>
      </c>
      <c r="D272" s="19"/>
    </row>
    <row r="273" customFormat="false" ht="15" hidden="false" customHeight="false" outlineLevel="0" collapsed="false">
      <c r="A273" s="19" t="s">
        <v>599</v>
      </c>
      <c r="B273" s="19" t="s">
        <v>608</v>
      </c>
      <c r="C273" s="19" t="s">
        <v>346</v>
      </c>
      <c r="D273" s="19"/>
    </row>
    <row r="274" customFormat="false" ht="15" hidden="false" customHeight="false" outlineLevel="0" collapsed="false">
      <c r="A274" s="19" t="s">
        <v>599</v>
      </c>
      <c r="B274" s="19" t="s">
        <v>334</v>
      </c>
      <c r="C274" s="19" t="s">
        <v>335</v>
      </c>
      <c r="D274" s="19"/>
    </row>
    <row r="275" customFormat="false" ht="15" hidden="false" customHeight="false" outlineLevel="0" collapsed="false">
      <c r="A275" s="19" t="s">
        <v>599</v>
      </c>
      <c r="B275" s="19" t="s">
        <v>334</v>
      </c>
      <c r="C275" s="19" t="s">
        <v>609</v>
      </c>
      <c r="D275" s="19"/>
    </row>
    <row r="276" customFormat="false" ht="15" hidden="false" customHeight="false" outlineLevel="0" collapsed="false">
      <c r="A276" s="19" t="s">
        <v>599</v>
      </c>
      <c r="B276" s="19" t="s">
        <v>334</v>
      </c>
      <c r="C276" s="19" t="s">
        <v>472</v>
      </c>
      <c r="D276" s="19"/>
    </row>
    <row r="277" customFormat="false" ht="15" hidden="false" customHeight="false" outlineLevel="0" collapsed="false">
      <c r="A277" s="19" t="s">
        <v>599</v>
      </c>
      <c r="B277" s="19" t="s">
        <v>334</v>
      </c>
      <c r="C277" s="19" t="s">
        <v>610</v>
      </c>
      <c r="D277" s="19"/>
    </row>
    <row r="278" customFormat="false" ht="15" hidden="false" customHeight="false" outlineLevel="0" collapsed="false">
      <c r="A278" s="19" t="s">
        <v>599</v>
      </c>
      <c r="B278" s="19" t="s">
        <v>334</v>
      </c>
      <c r="C278" s="19" t="s">
        <v>530</v>
      </c>
      <c r="D278" s="19"/>
    </row>
    <row r="279" customFormat="false" ht="35.05" hidden="false" customHeight="false" outlineLevel="0" collapsed="false">
      <c r="A279" s="20" t="s">
        <v>611</v>
      </c>
      <c r="B279" s="20"/>
      <c r="C279" s="20"/>
      <c r="D279" s="20"/>
    </row>
    <row r="280" customFormat="false" ht="15" hidden="false" customHeight="false" outlineLevel="0" collapsed="false">
      <c r="A280" s="19" t="s">
        <v>612</v>
      </c>
      <c r="B280" s="19" t="s">
        <v>613</v>
      </c>
      <c r="C280" s="19" t="s">
        <v>326</v>
      </c>
      <c r="D280" s="19"/>
    </row>
    <row r="281" customFormat="false" ht="15" hidden="false" customHeight="false" outlineLevel="0" collapsed="false">
      <c r="A281" s="19" t="s">
        <v>612</v>
      </c>
      <c r="B281" s="19" t="s">
        <v>477</v>
      </c>
      <c r="C281" s="19" t="s">
        <v>326</v>
      </c>
      <c r="D281" s="19"/>
    </row>
    <row r="282" customFormat="false" ht="15" hidden="false" customHeight="false" outlineLevel="0" collapsed="false">
      <c r="A282" s="19" t="s">
        <v>612</v>
      </c>
      <c r="B282" s="19" t="s">
        <v>334</v>
      </c>
      <c r="C282" s="19" t="s">
        <v>614</v>
      </c>
      <c r="D282" s="19"/>
    </row>
    <row r="283" customFormat="false" ht="15" hidden="false" customHeight="false" outlineLevel="0" collapsed="false">
      <c r="A283" s="19" t="s">
        <v>612</v>
      </c>
      <c r="B283" s="19" t="s">
        <v>334</v>
      </c>
      <c r="C283" s="19" t="s">
        <v>615</v>
      </c>
      <c r="D283" s="19"/>
    </row>
    <row r="284" customFormat="false" ht="15" hidden="false" customHeight="false" outlineLevel="0" collapsed="false">
      <c r="A284" s="19" t="s">
        <v>612</v>
      </c>
      <c r="B284" s="19" t="s">
        <v>334</v>
      </c>
      <c r="C284" s="19" t="s">
        <v>481</v>
      </c>
      <c r="D284" s="19"/>
    </row>
    <row r="285" customFormat="false" ht="46.25" hidden="false" customHeight="false" outlineLevel="0" collapsed="false">
      <c r="A285" s="20" t="s">
        <v>616</v>
      </c>
      <c r="B285" s="20"/>
      <c r="C285" s="20"/>
      <c r="D285" s="20"/>
    </row>
    <row r="286" customFormat="false" ht="15" hidden="false" customHeight="false" outlineLevel="0" collapsed="false">
      <c r="A286" s="19" t="s">
        <v>617</v>
      </c>
      <c r="B286" s="19" t="s">
        <v>325</v>
      </c>
      <c r="C286" s="19" t="s">
        <v>326</v>
      </c>
      <c r="D286" s="19" t="s">
        <v>327</v>
      </c>
    </row>
    <row r="287" customFormat="false" ht="15" hidden="false" customHeight="false" outlineLevel="0" collapsed="false">
      <c r="A287" s="19" t="s">
        <v>617</v>
      </c>
      <c r="B287" s="19" t="s">
        <v>618</v>
      </c>
      <c r="C287" s="19" t="s">
        <v>340</v>
      </c>
      <c r="D287" s="19" t="s">
        <v>619</v>
      </c>
    </row>
    <row r="288" customFormat="false" ht="15" hidden="false" customHeight="false" outlineLevel="0" collapsed="false">
      <c r="A288" s="19" t="s">
        <v>617</v>
      </c>
      <c r="B288" s="19" t="s">
        <v>444</v>
      </c>
      <c r="C288" s="19" t="s">
        <v>354</v>
      </c>
      <c r="D288" s="19"/>
    </row>
    <row r="289" customFormat="false" ht="15" hidden="false" customHeight="false" outlineLevel="0" collapsed="false">
      <c r="A289" s="19" t="s">
        <v>617</v>
      </c>
      <c r="B289" s="19" t="s">
        <v>620</v>
      </c>
      <c r="C289" s="19" t="s">
        <v>426</v>
      </c>
      <c r="D289" s="19"/>
    </row>
    <row r="290" customFormat="false" ht="15" hidden="false" customHeight="false" outlineLevel="0" collapsed="false">
      <c r="A290" s="19" t="s">
        <v>617</v>
      </c>
      <c r="B290" s="19" t="s">
        <v>621</v>
      </c>
      <c r="C290" s="19" t="s">
        <v>388</v>
      </c>
      <c r="D290" s="19" t="s">
        <v>622</v>
      </c>
    </row>
    <row r="291" customFormat="false" ht="15" hidden="false" customHeight="false" outlineLevel="0" collapsed="false">
      <c r="A291" s="19" t="s">
        <v>617</v>
      </c>
      <c r="B291" s="19" t="s">
        <v>623</v>
      </c>
      <c r="C291" s="19" t="s">
        <v>624</v>
      </c>
      <c r="D291" s="19" t="s">
        <v>625</v>
      </c>
    </row>
    <row r="292" customFormat="false" ht="23.85" hidden="false" customHeight="false" outlineLevel="0" collapsed="false">
      <c r="A292" s="19" t="s">
        <v>617</v>
      </c>
      <c r="B292" s="19" t="s">
        <v>391</v>
      </c>
      <c r="C292" s="19" t="s">
        <v>626</v>
      </c>
      <c r="D292" s="19"/>
    </row>
    <row r="293" customFormat="false" ht="15" hidden="false" customHeight="false" outlineLevel="0" collapsed="false">
      <c r="A293" s="19" t="s">
        <v>617</v>
      </c>
      <c r="B293" s="19" t="s">
        <v>592</v>
      </c>
      <c r="C293" s="19" t="s">
        <v>463</v>
      </c>
      <c r="D293" s="19"/>
    </row>
    <row r="294" customFormat="false" ht="15" hidden="false" customHeight="false" outlineLevel="0" collapsed="false">
      <c r="A294" s="19" t="s">
        <v>617</v>
      </c>
      <c r="B294" s="19" t="s">
        <v>627</v>
      </c>
      <c r="C294" s="19" t="s">
        <v>346</v>
      </c>
      <c r="D294" s="19"/>
    </row>
    <row r="295" customFormat="false" ht="15" hidden="false" customHeight="false" outlineLevel="0" collapsed="false">
      <c r="A295" s="19" t="s">
        <v>617</v>
      </c>
      <c r="B295" s="19" t="s">
        <v>628</v>
      </c>
      <c r="C295" s="19" t="s">
        <v>629</v>
      </c>
      <c r="D295" s="19" t="s">
        <v>630</v>
      </c>
    </row>
    <row r="296" customFormat="false" ht="15" hidden="false" customHeight="false" outlineLevel="0" collapsed="false">
      <c r="A296" s="19" t="s">
        <v>617</v>
      </c>
      <c r="B296" s="19" t="s">
        <v>631</v>
      </c>
      <c r="C296" s="19" t="s">
        <v>491</v>
      </c>
      <c r="D296" s="19"/>
    </row>
    <row r="297" customFormat="false" ht="15" hidden="false" customHeight="false" outlineLevel="0" collapsed="false">
      <c r="A297" s="19" t="s">
        <v>617</v>
      </c>
      <c r="B297" s="19" t="s">
        <v>345</v>
      </c>
      <c r="C297" s="19" t="s">
        <v>346</v>
      </c>
      <c r="D297" s="19"/>
    </row>
    <row r="298" customFormat="false" ht="15" hidden="false" customHeight="false" outlineLevel="0" collapsed="false">
      <c r="A298" s="19" t="s">
        <v>617</v>
      </c>
      <c r="B298" s="19" t="s">
        <v>632</v>
      </c>
      <c r="C298" s="19" t="s">
        <v>488</v>
      </c>
      <c r="D298" s="19"/>
    </row>
    <row r="299" customFormat="false" ht="15" hidden="false" customHeight="false" outlineLevel="0" collapsed="false">
      <c r="A299" s="19" t="s">
        <v>617</v>
      </c>
      <c r="B299" s="19" t="s">
        <v>334</v>
      </c>
      <c r="C299" s="19" t="s">
        <v>335</v>
      </c>
      <c r="D299" s="19"/>
    </row>
    <row r="300" customFormat="false" ht="15" hidden="false" customHeight="false" outlineLevel="0" collapsed="false">
      <c r="A300" s="19" t="s">
        <v>617</v>
      </c>
      <c r="B300" s="19" t="s">
        <v>334</v>
      </c>
      <c r="C300" s="19" t="s">
        <v>633</v>
      </c>
      <c r="D300" s="19"/>
    </row>
    <row r="301" customFormat="false" ht="15" hidden="false" customHeight="false" outlineLevel="0" collapsed="false">
      <c r="A301" s="19" t="s">
        <v>617</v>
      </c>
      <c r="B301" s="19" t="s">
        <v>334</v>
      </c>
      <c r="C301" s="19" t="s">
        <v>634</v>
      </c>
      <c r="D301" s="19"/>
    </row>
    <row r="302" customFormat="false" ht="15" hidden="false" customHeight="false" outlineLevel="0" collapsed="false">
      <c r="A302" s="19" t="s">
        <v>617</v>
      </c>
      <c r="B302" s="19" t="s">
        <v>334</v>
      </c>
      <c r="C302" s="19" t="s">
        <v>472</v>
      </c>
      <c r="D302" s="19"/>
    </row>
    <row r="303" customFormat="false" ht="35.05" hidden="false" customHeight="false" outlineLevel="0" collapsed="false">
      <c r="A303" s="20" t="s">
        <v>635</v>
      </c>
      <c r="B303" s="20"/>
      <c r="C303" s="20"/>
      <c r="D303" s="20"/>
    </row>
    <row r="304" customFormat="false" ht="15" hidden="false" customHeight="false" outlineLevel="0" collapsed="false">
      <c r="A304" s="19" t="s">
        <v>636</v>
      </c>
      <c r="B304" s="19" t="s">
        <v>637</v>
      </c>
      <c r="C304" s="19" t="s">
        <v>329</v>
      </c>
      <c r="D304" s="19"/>
    </row>
    <row r="305" customFormat="false" ht="15" hidden="false" customHeight="false" outlineLevel="0" collapsed="false">
      <c r="A305" s="19" t="s">
        <v>636</v>
      </c>
      <c r="B305" s="19" t="s">
        <v>638</v>
      </c>
      <c r="C305" s="19" t="s">
        <v>639</v>
      </c>
      <c r="D305" s="19"/>
    </row>
    <row r="306" customFormat="false" ht="15" hidden="false" customHeight="false" outlineLevel="0" collapsed="false">
      <c r="A306" s="19" t="s">
        <v>636</v>
      </c>
      <c r="B306" s="19" t="s">
        <v>334</v>
      </c>
      <c r="C306" s="19" t="s">
        <v>640</v>
      </c>
      <c r="D306" s="19"/>
    </row>
    <row r="307" customFormat="false" ht="35.05" hidden="false" customHeight="false" outlineLevel="0" collapsed="false">
      <c r="A307" s="20" t="s">
        <v>641</v>
      </c>
      <c r="B307" s="20"/>
      <c r="C307" s="20"/>
      <c r="D307" s="20"/>
    </row>
    <row r="308" customFormat="false" ht="15" hidden="false" customHeight="false" outlineLevel="0" collapsed="false">
      <c r="A308" s="19" t="s">
        <v>642</v>
      </c>
      <c r="B308" s="19" t="s">
        <v>325</v>
      </c>
      <c r="C308" s="19" t="s">
        <v>643</v>
      </c>
      <c r="D308" s="19"/>
    </row>
    <row r="309" customFormat="false" ht="15" hidden="false" customHeight="false" outlineLevel="0" collapsed="false">
      <c r="A309" s="19" t="s">
        <v>642</v>
      </c>
      <c r="B309" s="19" t="s">
        <v>539</v>
      </c>
      <c r="C309" s="19" t="s">
        <v>354</v>
      </c>
      <c r="D309" s="19"/>
    </row>
    <row r="310" customFormat="false" ht="15" hidden="false" customHeight="false" outlineLevel="0" collapsed="false">
      <c r="A310" s="19" t="s">
        <v>642</v>
      </c>
      <c r="B310" s="19" t="s">
        <v>644</v>
      </c>
      <c r="C310" s="19" t="s">
        <v>645</v>
      </c>
      <c r="D310" s="19"/>
    </row>
    <row r="311" customFormat="false" ht="15" hidden="false" customHeight="false" outlineLevel="0" collapsed="false">
      <c r="A311" s="19" t="s">
        <v>642</v>
      </c>
      <c r="B311" s="19" t="s">
        <v>646</v>
      </c>
      <c r="C311" s="19" t="s">
        <v>537</v>
      </c>
      <c r="D311" s="19"/>
    </row>
    <row r="312" customFormat="false" ht="15" hidden="false" customHeight="false" outlineLevel="0" collapsed="false">
      <c r="A312" s="19" t="s">
        <v>642</v>
      </c>
      <c r="B312" s="19" t="s">
        <v>647</v>
      </c>
      <c r="C312" s="19" t="s">
        <v>439</v>
      </c>
      <c r="D312" s="19"/>
    </row>
    <row r="313" customFormat="false" ht="15" hidden="false" customHeight="false" outlineLevel="0" collapsed="false">
      <c r="A313" s="19" t="s">
        <v>642</v>
      </c>
      <c r="B313" s="19" t="s">
        <v>648</v>
      </c>
      <c r="C313" s="19" t="s">
        <v>546</v>
      </c>
      <c r="D313" s="19"/>
    </row>
    <row r="314" customFormat="false" ht="15" hidden="false" customHeight="false" outlineLevel="0" collapsed="false">
      <c r="A314" s="19" t="s">
        <v>642</v>
      </c>
      <c r="B314" s="19" t="s">
        <v>649</v>
      </c>
      <c r="C314" s="19" t="s">
        <v>546</v>
      </c>
      <c r="D314" s="19"/>
    </row>
    <row r="315" customFormat="false" ht="15" hidden="false" customHeight="false" outlineLevel="0" collapsed="false">
      <c r="A315" s="19" t="s">
        <v>642</v>
      </c>
      <c r="B315" s="19" t="s">
        <v>608</v>
      </c>
      <c r="C315" s="19" t="s">
        <v>346</v>
      </c>
      <c r="D315" s="19"/>
    </row>
    <row r="316" customFormat="false" ht="15" hidden="false" customHeight="false" outlineLevel="0" collapsed="false">
      <c r="A316" s="19" t="s">
        <v>642</v>
      </c>
      <c r="B316" s="19" t="s">
        <v>334</v>
      </c>
      <c r="C316" s="19" t="s">
        <v>335</v>
      </c>
      <c r="D316" s="19"/>
    </row>
    <row r="317" customFormat="false" ht="15" hidden="false" customHeight="false" outlineLevel="0" collapsed="false">
      <c r="A317" s="20" t="s">
        <v>650</v>
      </c>
      <c r="B317" s="20"/>
      <c r="C317" s="20"/>
      <c r="D317" s="20"/>
    </row>
    <row r="318" customFormat="false" ht="23.85" hidden="false" customHeight="false" outlineLevel="0" collapsed="false">
      <c r="A318" s="19" t="s">
        <v>533</v>
      </c>
      <c r="B318" s="19" t="s">
        <v>651</v>
      </c>
      <c r="C318" s="19" t="s">
        <v>652</v>
      </c>
      <c r="D318" s="19" t="s">
        <v>653</v>
      </c>
    </row>
    <row r="319" customFormat="false" ht="15" hidden="false" customHeight="false" outlineLevel="0" collapsed="false">
      <c r="A319" s="19" t="s">
        <v>654</v>
      </c>
      <c r="B319" s="19" t="s">
        <v>655</v>
      </c>
      <c r="C319" s="19" t="s">
        <v>656</v>
      </c>
      <c r="D319" s="19" t="s">
        <v>657</v>
      </c>
    </row>
  </sheetData>
  <autoFilter ref="A3:D319"/>
  <mergeCells count="1"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44"/>
    <col collapsed="false" customWidth="true" hidden="false" outlineLevel="0" max="3" min="3" style="0" width="50"/>
    <col collapsed="false" customWidth="true" hidden="false" outlineLevel="0" max="4" min="4" style="0" width="32"/>
    <col collapsed="false" customWidth="true" hidden="false" outlineLevel="0" max="5" min="5" style="0" width="70"/>
  </cols>
  <sheetData>
    <row r="1" customFormat="false" ht="16.15" hidden="false" customHeight="false" outlineLevel="0" collapsed="false">
      <c r="A1" s="16" t="s">
        <v>658</v>
      </c>
    </row>
    <row r="2" customFormat="false" ht="15" hidden="false" customHeight="false" outlineLevel="0" collapsed="false">
      <c r="A2" s="18" t="s">
        <v>659</v>
      </c>
      <c r="B2" s="18" t="s">
        <v>660</v>
      </c>
      <c r="C2" s="18" t="s">
        <v>661</v>
      </c>
      <c r="D2" s="18" t="s">
        <v>662</v>
      </c>
      <c r="E2" s="18" t="s">
        <v>322</v>
      </c>
    </row>
    <row r="3" customFormat="false" ht="35.05" hidden="false" customHeight="false" outlineLevel="0" collapsed="false">
      <c r="A3" s="20" t="s">
        <v>663</v>
      </c>
      <c r="B3" s="20"/>
      <c r="C3" s="20"/>
      <c r="D3" s="20"/>
      <c r="E3" s="20"/>
    </row>
    <row r="4" customFormat="false" ht="15" hidden="false" customHeight="false" outlineLevel="0" collapsed="false">
      <c r="A4" s="19" t="s">
        <v>664</v>
      </c>
      <c r="B4" s="19" t="s">
        <v>665</v>
      </c>
      <c r="C4" s="19" t="s">
        <v>666</v>
      </c>
      <c r="D4" s="19" t="s">
        <v>667</v>
      </c>
      <c r="E4" s="19" t="s">
        <v>668</v>
      </c>
    </row>
    <row r="5" customFormat="false" ht="15" hidden="false" customHeight="false" outlineLevel="0" collapsed="false">
      <c r="A5" s="19" t="s">
        <v>669</v>
      </c>
      <c r="B5" s="19" t="s">
        <v>666</v>
      </c>
      <c r="C5" s="19" t="s">
        <v>670</v>
      </c>
      <c r="D5" s="19" t="s">
        <v>671</v>
      </c>
      <c r="E5" s="19" t="s">
        <v>672</v>
      </c>
    </row>
    <row r="6" customFormat="false" ht="23.85" hidden="false" customHeight="false" outlineLevel="0" collapsed="false">
      <c r="A6" s="19" t="s">
        <v>673</v>
      </c>
      <c r="B6" s="19" t="s">
        <v>670</v>
      </c>
      <c r="C6" s="19" t="s">
        <v>674</v>
      </c>
      <c r="D6" s="19" t="s">
        <v>675</v>
      </c>
      <c r="E6" s="19" t="s">
        <v>676</v>
      </c>
    </row>
    <row r="7" customFormat="false" ht="15" hidden="false" customHeight="false" outlineLevel="0" collapsed="false">
      <c r="A7" s="19" t="s">
        <v>677</v>
      </c>
      <c r="B7" s="19" t="s">
        <v>674</v>
      </c>
      <c r="C7" s="19" t="s">
        <v>678</v>
      </c>
      <c r="D7" s="19" t="s">
        <v>679</v>
      </c>
      <c r="E7" s="19" t="s">
        <v>680</v>
      </c>
    </row>
    <row r="8" customFormat="false" ht="15" hidden="false" customHeight="false" outlineLevel="0" collapsed="false">
      <c r="A8" s="19" t="s">
        <v>681</v>
      </c>
      <c r="B8" s="19" t="s">
        <v>678</v>
      </c>
      <c r="C8" s="19" t="s">
        <v>682</v>
      </c>
      <c r="D8" s="19" t="s">
        <v>683</v>
      </c>
      <c r="E8" s="19" t="s">
        <v>684</v>
      </c>
    </row>
    <row r="9" customFormat="false" ht="23.85" hidden="false" customHeight="false" outlineLevel="0" collapsed="false">
      <c r="A9" s="19" t="s">
        <v>685</v>
      </c>
      <c r="B9" s="19" t="s">
        <v>682</v>
      </c>
      <c r="C9" s="19" t="s">
        <v>686</v>
      </c>
      <c r="D9" s="19" t="s">
        <v>687</v>
      </c>
      <c r="E9" s="19" t="s">
        <v>688</v>
      </c>
    </row>
    <row r="10" customFormat="false" ht="15" hidden="false" customHeight="false" outlineLevel="0" collapsed="false">
      <c r="A10" s="19" t="s">
        <v>689</v>
      </c>
      <c r="B10" s="19" t="s">
        <v>690</v>
      </c>
      <c r="C10" s="19" t="s">
        <v>691</v>
      </c>
      <c r="D10" s="19" t="s">
        <v>692</v>
      </c>
      <c r="E10" s="19" t="s">
        <v>693</v>
      </c>
    </row>
    <row r="11" customFormat="false" ht="23.85" hidden="false" customHeight="false" outlineLevel="0" collapsed="false">
      <c r="A11" s="20" t="s">
        <v>694</v>
      </c>
      <c r="B11" s="20"/>
      <c r="C11" s="20"/>
      <c r="D11" s="20"/>
      <c r="E11" s="20"/>
    </row>
    <row r="12" customFormat="false" ht="23.85" hidden="false" customHeight="false" outlineLevel="0" collapsed="false">
      <c r="A12" s="19" t="s">
        <v>695</v>
      </c>
      <c r="B12" s="19" t="s">
        <v>696</v>
      </c>
      <c r="C12" s="19" t="s">
        <v>697</v>
      </c>
      <c r="D12" s="19" t="s">
        <v>698</v>
      </c>
      <c r="E12" s="19" t="s">
        <v>699</v>
      </c>
    </row>
    <row r="13" customFormat="false" ht="15" hidden="false" customHeight="false" outlineLevel="0" collapsed="false">
      <c r="A13" s="19" t="s">
        <v>700</v>
      </c>
      <c r="B13" s="19" t="s">
        <v>701</v>
      </c>
      <c r="C13" s="19" t="s">
        <v>702</v>
      </c>
      <c r="D13" s="19" t="s">
        <v>698</v>
      </c>
      <c r="E13" s="19" t="s">
        <v>703</v>
      </c>
    </row>
    <row r="14" customFormat="false" ht="15" hidden="false" customHeight="false" outlineLevel="0" collapsed="false">
      <c r="A14" s="19" t="s">
        <v>704</v>
      </c>
      <c r="B14" s="19" t="s">
        <v>705</v>
      </c>
      <c r="C14" s="19" t="s">
        <v>459</v>
      </c>
      <c r="D14" s="19" t="s">
        <v>698</v>
      </c>
      <c r="E14" s="19"/>
    </row>
    <row r="15" customFormat="false" ht="15" hidden="false" customHeight="false" outlineLevel="0" collapsed="false">
      <c r="A15" s="19" t="s">
        <v>706</v>
      </c>
      <c r="B15" s="19" t="s">
        <v>85</v>
      </c>
      <c r="C15" s="19" t="s">
        <v>706</v>
      </c>
      <c r="D15" s="19" t="s">
        <v>707</v>
      </c>
      <c r="E15" s="19"/>
    </row>
    <row r="16" customFormat="false" ht="15" hidden="false" customHeight="false" outlineLevel="0" collapsed="false">
      <c r="A16" s="20" t="s">
        <v>708</v>
      </c>
      <c r="B16" s="20"/>
      <c r="C16" s="20"/>
      <c r="D16" s="20"/>
      <c r="E16" s="20"/>
    </row>
    <row r="17" customFormat="false" ht="15" hidden="false" customHeight="false" outlineLevel="0" collapsed="false">
      <c r="A17" s="19" t="s">
        <v>709</v>
      </c>
      <c r="B17" s="19"/>
      <c r="C17" s="19" t="s">
        <v>710</v>
      </c>
      <c r="D17" s="19"/>
      <c r="E17" s="19"/>
    </row>
    <row r="18" customFormat="false" ht="15" hidden="false" customHeight="false" outlineLevel="0" collapsed="false">
      <c r="A18" s="19" t="s">
        <v>711</v>
      </c>
      <c r="B18" s="19"/>
      <c r="C18" s="19" t="s">
        <v>712</v>
      </c>
      <c r="D18" s="19"/>
      <c r="E18" s="19" t="s">
        <v>713</v>
      </c>
    </row>
    <row r="19" customFormat="false" ht="15" hidden="false" customHeight="false" outlineLevel="0" collapsed="false">
      <c r="A19" s="19" t="s">
        <v>714</v>
      </c>
      <c r="B19" s="19"/>
      <c r="C19" s="19" t="s">
        <v>715</v>
      </c>
      <c r="D19" s="19"/>
      <c r="E19" s="19" t="s">
        <v>716</v>
      </c>
    </row>
    <row r="20" customFormat="false" ht="15" hidden="false" customHeight="false" outlineLevel="0" collapsed="false">
      <c r="A20" s="19" t="s">
        <v>717</v>
      </c>
      <c r="B20" s="19"/>
      <c r="C20" s="19" t="s">
        <v>718</v>
      </c>
      <c r="D20" s="19"/>
      <c r="E20" s="19" t="s">
        <v>719</v>
      </c>
    </row>
    <row r="21" customFormat="false" ht="15" hidden="false" customHeight="false" outlineLevel="0" collapsed="false">
      <c r="A21" s="19" t="s">
        <v>720</v>
      </c>
      <c r="B21" s="19"/>
      <c r="C21" s="19" t="s">
        <v>721</v>
      </c>
      <c r="D21" s="19"/>
      <c r="E21" s="19" t="s">
        <v>722</v>
      </c>
    </row>
    <row r="22" customFormat="false" ht="23.85" hidden="false" customHeight="false" outlineLevel="0" collapsed="false">
      <c r="A22" s="19" t="s">
        <v>723</v>
      </c>
      <c r="B22" s="19"/>
      <c r="C22" s="19" t="s">
        <v>724</v>
      </c>
      <c r="D22" s="19"/>
      <c r="E22" s="19" t="s">
        <v>725</v>
      </c>
    </row>
    <row r="23" customFormat="false" ht="15" hidden="false" customHeight="false" outlineLevel="0" collapsed="false">
      <c r="A23" s="19" t="s">
        <v>726</v>
      </c>
      <c r="B23" s="19"/>
      <c r="C23" s="19" t="s">
        <v>715</v>
      </c>
      <c r="D23" s="19"/>
      <c r="E23" s="19" t="s">
        <v>727</v>
      </c>
    </row>
    <row r="24" customFormat="false" ht="15" hidden="false" customHeight="false" outlineLevel="0" collapsed="false">
      <c r="A24" s="19" t="s">
        <v>728</v>
      </c>
      <c r="B24" s="19"/>
      <c r="C24" s="19" t="s">
        <v>715</v>
      </c>
      <c r="D24" s="19"/>
      <c r="E24" s="19" t="s">
        <v>729</v>
      </c>
    </row>
    <row r="25" customFormat="false" ht="15" hidden="false" customHeight="false" outlineLevel="0" collapsed="false">
      <c r="A25" s="19" t="s">
        <v>730</v>
      </c>
      <c r="B25" s="19"/>
      <c r="C25" s="19" t="s">
        <v>731</v>
      </c>
      <c r="D25" s="19"/>
      <c r="E25" s="19" t="s">
        <v>732</v>
      </c>
    </row>
    <row r="26" customFormat="false" ht="23.85" hidden="false" customHeight="false" outlineLevel="0" collapsed="false">
      <c r="A26" s="20" t="s">
        <v>733</v>
      </c>
      <c r="B26" s="20"/>
      <c r="C26" s="20"/>
      <c r="D26" s="20"/>
      <c r="E26" s="20"/>
    </row>
    <row r="27" customFormat="false" ht="15" hidden="false" customHeight="false" outlineLevel="0" collapsed="false">
      <c r="A27" s="19" t="s">
        <v>734</v>
      </c>
      <c r="B27" s="19" t="s">
        <v>735</v>
      </c>
      <c r="C27" s="19"/>
      <c r="D27" s="19"/>
      <c r="E27" s="19"/>
    </row>
    <row r="28" customFormat="false" ht="15" hidden="false" customHeight="false" outlineLevel="0" collapsed="false">
      <c r="A28" s="19" t="s">
        <v>690</v>
      </c>
      <c r="B28" s="19" t="s">
        <v>736</v>
      </c>
      <c r="C28" s="19"/>
      <c r="D28" s="19"/>
      <c r="E28" s="19" t="s">
        <v>737</v>
      </c>
    </row>
    <row r="29" customFormat="false" ht="15" hidden="false" customHeight="false" outlineLevel="0" collapsed="false">
      <c r="A29" s="19" t="s">
        <v>738</v>
      </c>
      <c r="B29" s="19" t="s">
        <v>739</v>
      </c>
      <c r="C29" s="19"/>
      <c r="D29" s="19"/>
      <c r="E29" s="19" t="s">
        <v>740</v>
      </c>
    </row>
    <row r="30" customFormat="false" ht="15" hidden="false" customHeight="false" outlineLevel="0" collapsed="false">
      <c r="A30" s="19" t="s">
        <v>674</v>
      </c>
      <c r="B30" s="19" t="s">
        <v>741</v>
      </c>
      <c r="C30" s="19"/>
      <c r="D30" s="19"/>
      <c r="E30" s="19"/>
    </row>
    <row r="31" customFormat="false" ht="15" hidden="false" customHeight="false" outlineLevel="0" collapsed="false">
      <c r="A31" s="19" t="s">
        <v>742</v>
      </c>
      <c r="B31" s="19" t="s">
        <v>743</v>
      </c>
      <c r="C31" s="19"/>
      <c r="D31" s="19"/>
      <c r="E31" s="19"/>
    </row>
    <row r="32" customFormat="false" ht="23.85" hidden="false" customHeight="false" outlineLevel="0" collapsed="false">
      <c r="A32" s="20" t="s">
        <v>744</v>
      </c>
      <c r="B32" s="20"/>
      <c r="C32" s="20"/>
      <c r="D32" s="20"/>
      <c r="E32" s="20"/>
    </row>
    <row r="33" customFormat="false" ht="23.85" hidden="false" customHeight="false" outlineLevel="0" collapsed="false">
      <c r="A33" s="19" t="s">
        <v>745</v>
      </c>
      <c r="B33" s="19" t="s">
        <v>746</v>
      </c>
      <c r="C33" s="19"/>
      <c r="D33" s="19"/>
      <c r="E33" s="19"/>
    </row>
    <row r="34" customFormat="false" ht="15" hidden="false" customHeight="false" outlineLevel="0" collapsed="false">
      <c r="A34" s="19" t="s">
        <v>747</v>
      </c>
      <c r="B34" s="19" t="s">
        <v>748</v>
      </c>
      <c r="C34" s="19"/>
      <c r="D34" s="19"/>
      <c r="E34" s="19"/>
    </row>
    <row r="35" customFormat="false" ht="15" hidden="false" customHeight="false" outlineLevel="0" collapsed="false">
      <c r="A35" s="19" t="s">
        <v>749</v>
      </c>
      <c r="B35" s="19" t="s">
        <v>750</v>
      </c>
      <c r="C35" s="19"/>
      <c r="D35" s="19"/>
      <c r="E35" s="19"/>
    </row>
    <row r="36" customFormat="false" ht="23.85" hidden="false" customHeight="false" outlineLevel="0" collapsed="false">
      <c r="A36" s="19" t="s">
        <v>751</v>
      </c>
      <c r="B36" s="19" t="s">
        <v>752</v>
      </c>
      <c r="C36" s="19"/>
      <c r="D36" s="19"/>
      <c r="E36" s="19"/>
    </row>
    <row r="37" customFormat="false" ht="23.85" hidden="false" customHeight="false" outlineLevel="0" collapsed="false">
      <c r="A37" s="19" t="s">
        <v>753</v>
      </c>
      <c r="B37" s="19" t="s">
        <v>754</v>
      </c>
      <c r="C37" s="19"/>
      <c r="D37" s="19"/>
      <c r="E37" s="19"/>
    </row>
  </sheetData>
  <autoFilter ref="A2:E3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8"/>
    <col collapsed="false" customWidth="true" hidden="false" outlineLevel="0" max="4" min="3" style="0" width="14"/>
    <col collapsed="false" customWidth="true" hidden="false" outlineLevel="0" max="5" min="5" style="0" width="18"/>
  </cols>
  <sheetData>
    <row r="1" customFormat="false" ht="16.15" hidden="false" customHeight="false" outlineLevel="0" collapsed="false">
      <c r="A1" s="16" t="s">
        <v>755</v>
      </c>
    </row>
    <row r="2" customFormat="false" ht="30" hidden="false" customHeight="true" outlineLevel="0" collapsed="false">
      <c r="A2" s="17" t="s">
        <v>756</v>
      </c>
      <c r="B2" s="17"/>
      <c r="C2" s="17"/>
      <c r="D2" s="17"/>
      <c r="E2" s="17"/>
    </row>
    <row r="3" customFormat="false" ht="15" hidden="false" customHeight="false" outlineLevel="0" collapsed="false">
      <c r="A3" s="18" t="s">
        <v>757</v>
      </c>
      <c r="B3" s="18" t="s">
        <v>692</v>
      </c>
      <c r="C3" s="18" t="s">
        <v>758</v>
      </c>
      <c r="D3" s="18" t="s">
        <v>698</v>
      </c>
      <c r="E3" s="18" t="s">
        <v>759</v>
      </c>
    </row>
    <row r="4" customFormat="false" ht="15" hidden="false" customHeight="false" outlineLevel="0" collapsed="false">
      <c r="A4" s="19" t="s">
        <v>760</v>
      </c>
      <c r="B4" s="21" t="s">
        <v>761</v>
      </c>
      <c r="C4" s="21"/>
      <c r="D4" s="21"/>
      <c r="E4" s="21"/>
    </row>
    <row r="5" customFormat="false" ht="15" hidden="false" customHeight="false" outlineLevel="0" collapsed="false">
      <c r="A5" s="19" t="s">
        <v>762</v>
      </c>
      <c r="B5" s="21" t="s">
        <v>761</v>
      </c>
      <c r="C5" s="21"/>
      <c r="D5" s="21"/>
      <c r="E5" s="21"/>
    </row>
    <row r="6" customFormat="false" ht="15" hidden="false" customHeight="false" outlineLevel="0" collapsed="false">
      <c r="A6" s="19" t="s">
        <v>763</v>
      </c>
      <c r="B6" s="21" t="s">
        <v>761</v>
      </c>
      <c r="C6" s="21"/>
      <c r="D6" s="21"/>
      <c r="E6" s="21"/>
    </row>
    <row r="7" customFormat="false" ht="15" hidden="false" customHeight="false" outlineLevel="0" collapsed="false">
      <c r="A7" s="19" t="s">
        <v>764</v>
      </c>
      <c r="B7" s="21" t="s">
        <v>761</v>
      </c>
      <c r="C7" s="21"/>
      <c r="D7" s="21"/>
      <c r="E7" s="21"/>
    </row>
    <row r="8" customFormat="false" ht="15" hidden="false" customHeight="false" outlineLevel="0" collapsed="false">
      <c r="A8" s="19" t="s">
        <v>765</v>
      </c>
      <c r="B8" s="21" t="s">
        <v>766</v>
      </c>
      <c r="C8" s="21" t="s">
        <v>761</v>
      </c>
      <c r="D8" s="21"/>
      <c r="E8" s="21"/>
    </row>
    <row r="9" customFormat="false" ht="15" hidden="false" customHeight="false" outlineLevel="0" collapsed="false">
      <c r="A9" s="19" t="s">
        <v>767</v>
      </c>
      <c r="B9" s="21"/>
      <c r="C9" s="21" t="s">
        <v>761</v>
      </c>
      <c r="D9" s="21"/>
      <c r="E9" s="21"/>
    </row>
    <row r="10" customFormat="false" ht="15" hidden="false" customHeight="false" outlineLevel="0" collapsed="false">
      <c r="A10" s="19" t="s">
        <v>768</v>
      </c>
      <c r="B10" s="21"/>
      <c r="C10" s="21"/>
      <c r="D10" s="21" t="s">
        <v>761</v>
      </c>
      <c r="E10" s="21"/>
    </row>
    <row r="11" customFormat="false" ht="15" hidden="false" customHeight="false" outlineLevel="0" collapsed="false">
      <c r="A11" s="19" t="s">
        <v>769</v>
      </c>
      <c r="B11" s="21"/>
      <c r="C11" s="21"/>
      <c r="D11" s="21" t="s">
        <v>761</v>
      </c>
      <c r="E11" s="21"/>
    </row>
    <row r="12" customFormat="false" ht="15" hidden="false" customHeight="false" outlineLevel="0" collapsed="false">
      <c r="A12" s="19" t="s">
        <v>770</v>
      </c>
      <c r="B12" s="21"/>
      <c r="C12" s="21"/>
      <c r="D12" s="21" t="s">
        <v>761</v>
      </c>
      <c r="E12" s="21"/>
    </row>
    <row r="13" customFormat="false" ht="15" hidden="false" customHeight="false" outlineLevel="0" collapsed="false">
      <c r="A13" s="19" t="s">
        <v>771</v>
      </c>
      <c r="B13" s="21" t="s">
        <v>761</v>
      </c>
      <c r="C13" s="21"/>
      <c r="D13" s="21"/>
      <c r="E13" s="21"/>
    </row>
    <row r="14" customFormat="false" ht="15" hidden="false" customHeight="false" outlineLevel="0" collapsed="false">
      <c r="A14" s="19" t="s">
        <v>772</v>
      </c>
      <c r="B14" s="21" t="s">
        <v>761</v>
      </c>
      <c r="C14" s="21"/>
      <c r="D14" s="21" t="s">
        <v>761</v>
      </c>
      <c r="E14" s="21"/>
    </row>
    <row r="15" customFormat="false" ht="15" hidden="false" customHeight="false" outlineLevel="0" collapsed="false">
      <c r="A15" s="19" t="s">
        <v>773</v>
      </c>
      <c r="B15" s="21" t="s">
        <v>761</v>
      </c>
      <c r="C15" s="21"/>
      <c r="D15" s="21"/>
      <c r="E15" s="21"/>
    </row>
    <row r="16" customFormat="false" ht="15" hidden="false" customHeight="false" outlineLevel="0" collapsed="false">
      <c r="A16" s="19" t="s">
        <v>774</v>
      </c>
      <c r="B16" s="21"/>
      <c r="C16" s="21"/>
      <c r="D16" s="21" t="s">
        <v>761</v>
      </c>
      <c r="E16" s="21"/>
    </row>
    <row r="17" customFormat="false" ht="15" hidden="false" customHeight="false" outlineLevel="0" collapsed="false">
      <c r="A17" s="19" t="s">
        <v>775</v>
      </c>
      <c r="B17" s="21"/>
      <c r="C17" s="21"/>
      <c r="D17" s="21" t="s">
        <v>761</v>
      </c>
      <c r="E17" s="21"/>
    </row>
    <row r="18" customFormat="false" ht="15" hidden="false" customHeight="false" outlineLevel="0" collapsed="false">
      <c r="A18" s="19" t="s">
        <v>776</v>
      </c>
      <c r="B18" s="21" t="s">
        <v>761</v>
      </c>
      <c r="C18" s="21" t="s">
        <v>761</v>
      </c>
      <c r="D18" s="21" t="s">
        <v>761</v>
      </c>
      <c r="E18" s="21" t="s">
        <v>761</v>
      </c>
    </row>
    <row r="19" customFormat="false" ht="15" hidden="false" customHeight="false" outlineLevel="0" collapsed="false">
      <c r="A19" s="19" t="s">
        <v>777</v>
      </c>
      <c r="B19" s="21"/>
      <c r="C19" s="21"/>
      <c r="D19" s="21" t="s">
        <v>761</v>
      </c>
      <c r="E19" s="21" t="s">
        <v>761</v>
      </c>
    </row>
    <row r="20" customFormat="false" ht="15" hidden="false" customHeight="false" outlineLevel="0" collapsed="false">
      <c r="A20" s="19" t="s">
        <v>778</v>
      </c>
      <c r="B20" s="21"/>
      <c r="C20" s="21"/>
      <c r="D20" s="21" t="s">
        <v>761</v>
      </c>
      <c r="E20" s="21" t="s">
        <v>761</v>
      </c>
    </row>
    <row r="21" customFormat="false" ht="15" hidden="false" customHeight="false" outlineLevel="0" collapsed="false">
      <c r="A21" s="19" t="s">
        <v>779</v>
      </c>
      <c r="B21" s="21" t="s">
        <v>761</v>
      </c>
      <c r="C21" s="21" t="s">
        <v>761</v>
      </c>
      <c r="D21" s="21" t="s">
        <v>761</v>
      </c>
      <c r="E21" s="21" t="s">
        <v>780</v>
      </c>
    </row>
    <row r="23" customFormat="false" ht="15" hidden="false" customHeight="false" outlineLevel="0" collapsed="false">
      <c r="A23" s="22" t="s">
        <v>781</v>
      </c>
    </row>
  </sheetData>
  <autoFilter ref="A3:E21"/>
  <mergeCells count="1"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90"/>
    <col collapsed="false" customWidth="true" hidden="false" outlineLevel="0" max="3" min="3" style="0" width="42"/>
    <col collapsed="false" customWidth="true" hidden="false" outlineLevel="0" max="4" min="4" style="0" width="40"/>
    <col collapsed="false" customWidth="true" hidden="false" outlineLevel="0" max="5" min="5" style="0" width="36"/>
  </cols>
  <sheetData>
    <row r="1" customFormat="false" ht="16.15" hidden="false" customHeight="false" outlineLevel="0" collapsed="false">
      <c r="A1" s="16" t="s">
        <v>782</v>
      </c>
    </row>
    <row r="2" customFormat="false" ht="15" hidden="false" customHeight="false" outlineLevel="0" collapsed="false">
      <c r="A2" s="18" t="s">
        <v>193</v>
      </c>
      <c r="B2" s="18" t="s">
        <v>783</v>
      </c>
      <c r="C2" s="18" t="s">
        <v>784</v>
      </c>
      <c r="D2" s="18" t="s">
        <v>785</v>
      </c>
      <c r="E2" s="18" t="s">
        <v>134</v>
      </c>
    </row>
    <row r="3" customFormat="false" ht="15" hidden="false" customHeight="false" outlineLevel="0" collapsed="false">
      <c r="A3" s="19" t="n">
        <v>1</v>
      </c>
      <c r="B3" s="19" t="s">
        <v>786</v>
      </c>
      <c r="C3" s="19" t="s">
        <v>787</v>
      </c>
      <c r="D3" s="19" t="s">
        <v>788</v>
      </c>
      <c r="E3" s="19" t="s">
        <v>789</v>
      </c>
    </row>
    <row r="4" customFormat="false" ht="15" hidden="false" customHeight="false" outlineLevel="0" collapsed="false">
      <c r="A4" s="19" t="n">
        <v>2</v>
      </c>
      <c r="B4" s="19" t="s">
        <v>790</v>
      </c>
      <c r="C4" s="19" t="s">
        <v>791</v>
      </c>
      <c r="D4" s="19" t="s">
        <v>792</v>
      </c>
      <c r="E4" s="19" t="s">
        <v>789</v>
      </c>
    </row>
    <row r="5" customFormat="false" ht="15" hidden="false" customHeight="false" outlineLevel="0" collapsed="false">
      <c r="A5" s="19" t="n">
        <v>3</v>
      </c>
      <c r="B5" s="19" t="s">
        <v>793</v>
      </c>
      <c r="C5" s="19" t="s">
        <v>794</v>
      </c>
      <c r="D5" s="19" t="s">
        <v>795</v>
      </c>
      <c r="E5" s="19" t="s">
        <v>796</v>
      </c>
    </row>
    <row r="6" customFormat="false" ht="15" hidden="false" customHeight="false" outlineLevel="0" collapsed="false">
      <c r="A6" s="19" t="n">
        <v>4</v>
      </c>
      <c r="B6" s="19" t="s">
        <v>797</v>
      </c>
      <c r="C6" s="19" t="s">
        <v>798</v>
      </c>
      <c r="D6" s="19" t="s">
        <v>799</v>
      </c>
      <c r="E6" s="19" t="s">
        <v>789</v>
      </c>
    </row>
    <row r="7" customFormat="false" ht="23.85" hidden="false" customHeight="false" outlineLevel="0" collapsed="false">
      <c r="A7" s="19" t="n">
        <v>5</v>
      </c>
      <c r="B7" s="19" t="s">
        <v>800</v>
      </c>
      <c r="C7" s="19" t="s">
        <v>801</v>
      </c>
      <c r="D7" s="19" t="s">
        <v>802</v>
      </c>
      <c r="E7" s="19" t="s">
        <v>789</v>
      </c>
    </row>
    <row r="8" customFormat="false" ht="15" hidden="false" customHeight="false" outlineLevel="0" collapsed="false">
      <c r="A8" s="19" t="n">
        <v>6</v>
      </c>
      <c r="B8" s="19" t="s">
        <v>803</v>
      </c>
      <c r="C8" s="19" t="s">
        <v>804</v>
      </c>
      <c r="D8" s="19" t="s">
        <v>805</v>
      </c>
      <c r="E8" s="19" t="s">
        <v>789</v>
      </c>
    </row>
    <row r="9" customFormat="false" ht="15" hidden="false" customHeight="false" outlineLevel="0" collapsed="false">
      <c r="A9" s="19" t="n">
        <v>7</v>
      </c>
      <c r="B9" s="19" t="s">
        <v>806</v>
      </c>
      <c r="C9" s="19" t="s">
        <v>807</v>
      </c>
      <c r="D9" s="19" t="s">
        <v>808</v>
      </c>
      <c r="E9" s="19" t="s">
        <v>809</v>
      </c>
    </row>
    <row r="10" customFormat="false" ht="15" hidden="false" customHeight="false" outlineLevel="0" collapsed="false">
      <c r="A10" s="19" t="n">
        <v>8</v>
      </c>
      <c r="B10" s="19" t="s">
        <v>810</v>
      </c>
      <c r="C10" s="19" t="s">
        <v>811</v>
      </c>
      <c r="D10" s="19" t="s">
        <v>812</v>
      </c>
      <c r="E10" s="19" t="s">
        <v>789</v>
      </c>
    </row>
    <row r="11" customFormat="false" ht="15" hidden="false" customHeight="false" outlineLevel="0" collapsed="false">
      <c r="A11" s="19" t="n">
        <v>9</v>
      </c>
      <c r="B11" s="19" t="s">
        <v>813</v>
      </c>
      <c r="C11" s="19" t="s">
        <v>814</v>
      </c>
      <c r="D11" s="19" t="s">
        <v>815</v>
      </c>
      <c r="E11" s="19" t="s">
        <v>789</v>
      </c>
    </row>
    <row r="12" customFormat="false" ht="15" hidden="false" customHeight="false" outlineLevel="0" collapsed="false">
      <c r="A12" s="19" t="n">
        <v>10</v>
      </c>
      <c r="B12" s="19" t="s">
        <v>816</v>
      </c>
      <c r="C12" s="19" t="s">
        <v>817</v>
      </c>
      <c r="D12" s="19" t="s">
        <v>818</v>
      </c>
      <c r="E12" s="19" t="s">
        <v>789</v>
      </c>
    </row>
    <row r="13" customFormat="false" ht="15" hidden="false" customHeight="false" outlineLevel="0" collapsed="false">
      <c r="A13" s="19" t="n">
        <v>11</v>
      </c>
      <c r="B13" s="19" t="s">
        <v>819</v>
      </c>
      <c r="C13" s="19" t="s">
        <v>820</v>
      </c>
      <c r="D13" s="19" t="s">
        <v>821</v>
      </c>
      <c r="E13" s="19" t="s">
        <v>789</v>
      </c>
    </row>
    <row r="14" customFormat="false" ht="15" hidden="false" customHeight="false" outlineLevel="0" collapsed="false">
      <c r="A14" s="19" t="n">
        <v>12</v>
      </c>
      <c r="B14" s="19" t="s">
        <v>822</v>
      </c>
      <c r="C14" s="19" t="s">
        <v>823</v>
      </c>
      <c r="D14" s="19" t="s">
        <v>824</v>
      </c>
      <c r="E14" s="19" t="s">
        <v>789</v>
      </c>
    </row>
    <row r="15" customFormat="false" ht="15" hidden="false" customHeight="false" outlineLevel="0" collapsed="false">
      <c r="A15" s="19" t="n">
        <v>13</v>
      </c>
      <c r="B15" s="19" t="s">
        <v>825</v>
      </c>
      <c r="C15" s="19" t="s">
        <v>826</v>
      </c>
      <c r="D15" s="19" t="s">
        <v>827</v>
      </c>
      <c r="E15" s="19" t="s">
        <v>828</v>
      </c>
    </row>
    <row r="16" customFormat="false" ht="23.85" hidden="false" customHeight="false" outlineLevel="0" collapsed="false">
      <c r="A16" s="19" t="n">
        <v>14</v>
      </c>
      <c r="B16" s="19" t="s">
        <v>829</v>
      </c>
      <c r="C16" s="19" t="s">
        <v>830</v>
      </c>
      <c r="D16" s="19" t="s">
        <v>831</v>
      </c>
      <c r="E16" s="19" t="s">
        <v>832</v>
      </c>
    </row>
  </sheetData>
  <autoFilter ref="A2:E1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4"/>
    <col collapsed="false" customWidth="true" hidden="false" outlineLevel="0" max="3" min="3" style="0" width="34"/>
    <col collapsed="false" customWidth="true" hidden="false" outlineLevel="0" max="4" min="4" style="0" width="20"/>
    <col collapsed="false" customWidth="true" hidden="false" outlineLevel="0" max="5" min="5" style="0" width="80"/>
    <col collapsed="false" customWidth="true" hidden="false" outlineLevel="0" max="6" min="6" style="0" width="52"/>
    <col collapsed="false" customWidth="true" hidden="false" outlineLevel="0" max="7" min="7" style="0" width="8"/>
  </cols>
  <sheetData>
    <row r="1" customFormat="false" ht="16.15" hidden="false" customHeight="false" outlineLevel="0" collapsed="false">
      <c r="A1" s="16" t="s">
        <v>833</v>
      </c>
    </row>
    <row r="2" customFormat="false" ht="15" hidden="false" customHeight="false" outlineLevel="0" collapsed="false">
      <c r="A2" s="18" t="s">
        <v>193</v>
      </c>
      <c r="B2" s="18" t="s">
        <v>834</v>
      </c>
      <c r="C2" s="18" t="s">
        <v>258</v>
      </c>
      <c r="D2" s="18" t="s">
        <v>662</v>
      </c>
      <c r="E2" s="18" t="s">
        <v>835</v>
      </c>
      <c r="F2" s="18" t="s">
        <v>39</v>
      </c>
      <c r="G2" s="18" t="s">
        <v>5</v>
      </c>
    </row>
    <row r="3" customFormat="false" ht="15" hidden="false" customHeight="false" outlineLevel="0" collapsed="false">
      <c r="A3" s="19" t="n">
        <v>1</v>
      </c>
      <c r="B3" s="19" t="s">
        <v>836</v>
      </c>
      <c r="C3" s="19" t="s">
        <v>837</v>
      </c>
      <c r="D3" s="19" t="s">
        <v>838</v>
      </c>
      <c r="E3" s="19" t="s">
        <v>839</v>
      </c>
      <c r="F3" s="19" t="s">
        <v>840</v>
      </c>
      <c r="G3" s="19" t="s">
        <v>841</v>
      </c>
    </row>
    <row r="4" customFormat="false" ht="23.85" hidden="false" customHeight="false" outlineLevel="0" collapsed="false">
      <c r="A4" s="19" t="n">
        <v>2</v>
      </c>
      <c r="B4" s="19" t="s">
        <v>842</v>
      </c>
      <c r="C4" s="19" t="s">
        <v>843</v>
      </c>
      <c r="D4" s="19" t="s">
        <v>692</v>
      </c>
      <c r="E4" s="19" t="s">
        <v>844</v>
      </c>
      <c r="F4" s="19" t="s">
        <v>845</v>
      </c>
      <c r="G4" s="19" t="s">
        <v>841</v>
      </c>
    </row>
    <row r="5" customFormat="false" ht="23.85" hidden="false" customHeight="false" outlineLevel="0" collapsed="false">
      <c r="A5" s="19" t="n">
        <v>3</v>
      </c>
      <c r="B5" s="19" t="s">
        <v>846</v>
      </c>
      <c r="C5" s="19" t="s">
        <v>847</v>
      </c>
      <c r="D5" s="19" t="s">
        <v>692</v>
      </c>
      <c r="E5" s="19" t="s">
        <v>848</v>
      </c>
      <c r="F5" s="19" t="s">
        <v>849</v>
      </c>
      <c r="G5" s="19" t="s">
        <v>841</v>
      </c>
    </row>
    <row r="6" customFormat="false" ht="23.85" hidden="false" customHeight="false" outlineLevel="0" collapsed="false">
      <c r="A6" s="19" t="n">
        <v>4</v>
      </c>
      <c r="B6" s="19" t="s">
        <v>850</v>
      </c>
      <c r="C6" s="19" t="s">
        <v>851</v>
      </c>
      <c r="D6" s="19" t="s">
        <v>758</v>
      </c>
      <c r="E6" s="19" t="s">
        <v>852</v>
      </c>
      <c r="F6" s="19" t="s">
        <v>853</v>
      </c>
      <c r="G6" s="19" t="s">
        <v>841</v>
      </c>
    </row>
    <row r="7" customFormat="false" ht="23.85" hidden="false" customHeight="false" outlineLevel="0" collapsed="false">
      <c r="A7" s="19" t="n">
        <v>5</v>
      </c>
      <c r="B7" s="19" t="s">
        <v>854</v>
      </c>
      <c r="C7" s="19" t="s">
        <v>855</v>
      </c>
      <c r="D7" s="19" t="s">
        <v>698</v>
      </c>
      <c r="E7" s="19" t="s">
        <v>856</v>
      </c>
      <c r="F7" s="19" t="s">
        <v>857</v>
      </c>
      <c r="G7" s="19" t="s">
        <v>858</v>
      </c>
    </row>
    <row r="8" customFormat="false" ht="15" hidden="false" customHeight="false" outlineLevel="0" collapsed="false">
      <c r="A8" s="19" t="n">
        <v>6</v>
      </c>
      <c r="B8" s="19" t="s">
        <v>771</v>
      </c>
      <c r="C8" s="19" t="s">
        <v>859</v>
      </c>
      <c r="D8" s="19" t="s">
        <v>692</v>
      </c>
      <c r="E8" s="19" t="s">
        <v>860</v>
      </c>
      <c r="F8" s="19" t="s">
        <v>861</v>
      </c>
      <c r="G8" s="19" t="s">
        <v>858</v>
      </c>
    </row>
    <row r="9" customFormat="false" ht="15" hidden="false" customHeight="false" outlineLevel="0" collapsed="false">
      <c r="A9" s="19" t="n">
        <v>7</v>
      </c>
      <c r="B9" s="19" t="s">
        <v>862</v>
      </c>
      <c r="C9" s="19" t="s">
        <v>863</v>
      </c>
      <c r="D9" s="19" t="s">
        <v>864</v>
      </c>
      <c r="E9" s="19" t="s">
        <v>865</v>
      </c>
      <c r="F9" s="19" t="s">
        <v>866</v>
      </c>
      <c r="G9" s="19" t="s">
        <v>858</v>
      </c>
    </row>
    <row r="10" customFormat="false" ht="23.85" hidden="false" customHeight="false" outlineLevel="0" collapsed="false">
      <c r="A10" s="19" t="n">
        <v>8</v>
      </c>
      <c r="B10" s="19" t="s">
        <v>867</v>
      </c>
      <c r="C10" s="19" t="s">
        <v>868</v>
      </c>
      <c r="D10" s="19" t="s">
        <v>692</v>
      </c>
      <c r="E10" s="19" t="s">
        <v>869</v>
      </c>
      <c r="F10" s="19" t="s">
        <v>870</v>
      </c>
      <c r="G10" s="19" t="s">
        <v>871</v>
      </c>
    </row>
    <row r="11" customFormat="false" ht="23.85" hidden="false" customHeight="false" outlineLevel="0" collapsed="false">
      <c r="A11" s="19" t="n">
        <v>9</v>
      </c>
      <c r="B11" s="19" t="s">
        <v>872</v>
      </c>
      <c r="C11" s="19" t="s">
        <v>873</v>
      </c>
      <c r="D11" s="19" t="s">
        <v>874</v>
      </c>
      <c r="E11" s="19" t="s">
        <v>875</v>
      </c>
      <c r="F11" s="19" t="s">
        <v>876</v>
      </c>
      <c r="G11" s="19" t="s">
        <v>871</v>
      </c>
    </row>
    <row r="12" customFormat="false" ht="15" hidden="false" customHeight="false" outlineLevel="0" collapsed="false">
      <c r="A12" s="19" t="n">
        <v>10</v>
      </c>
      <c r="B12" s="19" t="s">
        <v>877</v>
      </c>
      <c r="C12" s="19" t="s">
        <v>878</v>
      </c>
      <c r="D12" s="19" t="s">
        <v>879</v>
      </c>
      <c r="E12" s="19" t="s">
        <v>880</v>
      </c>
      <c r="F12" s="19" t="s">
        <v>881</v>
      </c>
      <c r="G12" s="19" t="s">
        <v>871</v>
      </c>
    </row>
    <row r="13" customFormat="false" ht="15" hidden="false" customHeight="false" outlineLevel="0" collapsed="false">
      <c r="A13" s="19" t="n">
        <v>11</v>
      </c>
      <c r="B13" s="19" t="s">
        <v>882</v>
      </c>
      <c r="C13" s="19" t="s">
        <v>883</v>
      </c>
      <c r="D13" s="19" t="s">
        <v>838</v>
      </c>
      <c r="E13" s="19" t="s">
        <v>884</v>
      </c>
      <c r="F13" s="19" t="s">
        <v>885</v>
      </c>
      <c r="G13" s="19" t="s">
        <v>871</v>
      </c>
    </row>
    <row r="14" customFormat="false" ht="15" hidden="false" customHeight="false" outlineLevel="0" collapsed="false">
      <c r="A14" s="19" t="n">
        <v>12</v>
      </c>
      <c r="B14" s="19" t="s">
        <v>886</v>
      </c>
      <c r="C14" s="19" t="s">
        <v>887</v>
      </c>
      <c r="D14" s="19" t="s">
        <v>888</v>
      </c>
      <c r="E14" s="19" t="s">
        <v>889</v>
      </c>
      <c r="F14" s="19" t="s">
        <v>85</v>
      </c>
      <c r="G14" s="19" t="s">
        <v>841</v>
      </c>
    </row>
  </sheetData>
  <autoFilter ref="A2:G1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70"/>
    <col collapsed="false" customWidth="true" hidden="false" outlineLevel="0" max="3" min="3" style="0" width="28"/>
    <col collapsed="false" customWidth="true" hidden="false" outlineLevel="0" max="4" min="4" style="0" width="80"/>
  </cols>
  <sheetData>
    <row r="1" customFormat="false" ht="16.15" hidden="false" customHeight="false" outlineLevel="0" collapsed="false">
      <c r="A1" s="16" t="s">
        <v>890</v>
      </c>
    </row>
    <row r="2" customFormat="false" ht="15" hidden="false" customHeight="false" outlineLevel="0" collapsed="false">
      <c r="A2" s="18" t="s">
        <v>891</v>
      </c>
      <c r="B2" s="18" t="s">
        <v>258</v>
      </c>
      <c r="C2" s="18" t="s">
        <v>892</v>
      </c>
      <c r="D2" s="18" t="s">
        <v>322</v>
      </c>
    </row>
    <row r="3" customFormat="false" ht="15" hidden="false" customHeight="false" outlineLevel="0" collapsed="false">
      <c r="A3" s="19" t="s">
        <v>893</v>
      </c>
      <c r="B3" s="19" t="s">
        <v>894</v>
      </c>
      <c r="C3" s="19" t="s">
        <v>838</v>
      </c>
      <c r="D3" s="19" t="s">
        <v>895</v>
      </c>
    </row>
    <row r="4" customFormat="false" ht="15" hidden="false" customHeight="false" outlineLevel="0" collapsed="false">
      <c r="A4" s="19" t="s">
        <v>893</v>
      </c>
      <c r="B4" s="19" t="s">
        <v>896</v>
      </c>
      <c r="C4" s="19" t="s">
        <v>897</v>
      </c>
      <c r="D4" s="19" t="s">
        <v>898</v>
      </c>
    </row>
    <row r="5" customFormat="false" ht="15" hidden="false" customHeight="false" outlineLevel="0" collapsed="false">
      <c r="A5" s="19" t="s">
        <v>899</v>
      </c>
      <c r="B5" s="19" t="s">
        <v>900</v>
      </c>
      <c r="C5" s="19" t="s">
        <v>901</v>
      </c>
      <c r="D5" s="19" t="s">
        <v>902</v>
      </c>
    </row>
    <row r="6" customFormat="false" ht="15" hidden="false" customHeight="false" outlineLevel="0" collapsed="false">
      <c r="A6" s="19" t="s">
        <v>893</v>
      </c>
      <c r="B6" s="19" t="s">
        <v>903</v>
      </c>
      <c r="C6" s="19" t="s">
        <v>897</v>
      </c>
      <c r="D6" s="19" t="s">
        <v>904</v>
      </c>
    </row>
    <row r="7" customFormat="false" ht="15" hidden="false" customHeight="false" outlineLevel="0" collapsed="false">
      <c r="A7" s="19" t="s">
        <v>893</v>
      </c>
      <c r="B7" s="19" t="s">
        <v>905</v>
      </c>
      <c r="C7" s="19" t="s">
        <v>897</v>
      </c>
      <c r="D7" s="19" t="s">
        <v>906</v>
      </c>
    </row>
    <row r="8" customFormat="false" ht="15" hidden="false" customHeight="false" outlineLevel="0" collapsed="false">
      <c r="A8" s="19" t="s">
        <v>893</v>
      </c>
      <c r="B8" s="19" t="s">
        <v>907</v>
      </c>
      <c r="C8" s="19" t="s">
        <v>897</v>
      </c>
      <c r="D8" s="19" t="s">
        <v>908</v>
      </c>
    </row>
    <row r="9" customFormat="false" ht="15" hidden="false" customHeight="false" outlineLevel="0" collapsed="false">
      <c r="A9" s="19" t="s">
        <v>893</v>
      </c>
      <c r="B9" s="19" t="s">
        <v>909</v>
      </c>
      <c r="C9" s="19" t="s">
        <v>897</v>
      </c>
      <c r="D9" s="19" t="s">
        <v>910</v>
      </c>
    </row>
    <row r="10" customFormat="false" ht="15" hidden="false" customHeight="false" outlineLevel="0" collapsed="false">
      <c r="A10" s="19" t="s">
        <v>893</v>
      </c>
      <c r="B10" s="19" t="s">
        <v>911</v>
      </c>
      <c r="C10" s="19" t="s">
        <v>897</v>
      </c>
      <c r="D10" s="19" t="s">
        <v>912</v>
      </c>
    </row>
    <row r="11" customFormat="false" ht="15" hidden="false" customHeight="false" outlineLevel="0" collapsed="false">
      <c r="A11" s="19" t="s">
        <v>899</v>
      </c>
      <c r="B11" s="19" t="s">
        <v>913</v>
      </c>
      <c r="C11" s="19" t="s">
        <v>914</v>
      </c>
      <c r="D11" s="19" t="s">
        <v>915</v>
      </c>
    </row>
    <row r="12" customFormat="false" ht="15" hidden="false" customHeight="false" outlineLevel="0" collapsed="false">
      <c r="A12" s="19" t="s">
        <v>893</v>
      </c>
      <c r="B12" s="19" t="s">
        <v>916</v>
      </c>
      <c r="C12" s="19" t="s">
        <v>917</v>
      </c>
      <c r="D12" s="19" t="s">
        <v>918</v>
      </c>
    </row>
    <row r="13" customFormat="false" ht="15" hidden="false" customHeight="false" outlineLevel="0" collapsed="false">
      <c r="A13" s="19" t="s">
        <v>893</v>
      </c>
      <c r="B13" s="19" t="s">
        <v>919</v>
      </c>
      <c r="C13" s="19" t="s">
        <v>920</v>
      </c>
      <c r="D13" s="19" t="s">
        <v>921</v>
      </c>
    </row>
    <row r="14" customFormat="false" ht="15" hidden="false" customHeight="false" outlineLevel="0" collapsed="false">
      <c r="A14" s="19" t="s">
        <v>893</v>
      </c>
      <c r="B14" s="19" t="s">
        <v>922</v>
      </c>
      <c r="C14" s="19" t="s">
        <v>920</v>
      </c>
      <c r="D14" s="19" t="s">
        <v>923</v>
      </c>
    </row>
    <row r="15" customFormat="false" ht="15" hidden="false" customHeight="false" outlineLevel="0" collapsed="false">
      <c r="A15" s="19" t="s">
        <v>893</v>
      </c>
      <c r="B15" s="19" t="s">
        <v>924</v>
      </c>
      <c r="C15" s="19" t="s">
        <v>897</v>
      </c>
      <c r="D15" s="19" t="s">
        <v>925</v>
      </c>
    </row>
    <row r="16" customFormat="false" ht="15" hidden="false" customHeight="false" outlineLevel="0" collapsed="false">
      <c r="A16" s="19" t="s">
        <v>899</v>
      </c>
      <c r="B16" s="19" t="s">
        <v>926</v>
      </c>
      <c r="C16" s="19" t="s">
        <v>927</v>
      </c>
      <c r="D16" s="19"/>
    </row>
    <row r="17" customFormat="false" ht="15" hidden="false" customHeight="false" outlineLevel="0" collapsed="false">
      <c r="A17" s="19" t="s">
        <v>893</v>
      </c>
      <c r="B17" s="19" t="s">
        <v>928</v>
      </c>
      <c r="C17" s="19" t="s">
        <v>927</v>
      </c>
      <c r="D17" s="19"/>
    </row>
    <row r="18" customFormat="false" ht="15" hidden="false" customHeight="false" outlineLevel="0" collapsed="false">
      <c r="A18" s="19" t="s">
        <v>899</v>
      </c>
      <c r="B18" s="19" t="s">
        <v>929</v>
      </c>
      <c r="C18" s="19" t="s">
        <v>897</v>
      </c>
      <c r="D18" s="19" t="s">
        <v>930</v>
      </c>
    </row>
    <row r="19" customFormat="false" ht="23.85" hidden="false" customHeight="false" outlineLevel="0" collapsed="false">
      <c r="A19" s="19" t="s">
        <v>893</v>
      </c>
      <c r="B19" s="19" t="s">
        <v>931</v>
      </c>
      <c r="C19" s="19" t="s">
        <v>897</v>
      </c>
      <c r="D19" s="19" t="s">
        <v>932</v>
      </c>
    </row>
    <row r="20" customFormat="false" ht="15" hidden="false" customHeight="false" outlineLevel="0" collapsed="false">
      <c r="A20" s="19" t="s">
        <v>893</v>
      </c>
      <c r="B20" s="19" t="s">
        <v>933</v>
      </c>
      <c r="C20" s="19" t="s">
        <v>934</v>
      </c>
      <c r="D20" s="19" t="s">
        <v>935</v>
      </c>
    </row>
    <row r="21" customFormat="false" ht="15" hidden="false" customHeight="false" outlineLevel="0" collapsed="false">
      <c r="A21" s="19" t="s">
        <v>899</v>
      </c>
      <c r="B21" s="19" t="s">
        <v>936</v>
      </c>
      <c r="C21" s="19" t="s">
        <v>937</v>
      </c>
      <c r="D21" s="19" t="s">
        <v>938</v>
      </c>
    </row>
    <row r="22" customFormat="false" ht="15" hidden="false" customHeight="false" outlineLevel="0" collapsed="false">
      <c r="A22" s="19" t="s">
        <v>899</v>
      </c>
      <c r="B22" s="19" t="s">
        <v>939</v>
      </c>
      <c r="C22" s="19" t="s">
        <v>940</v>
      </c>
      <c r="D22" s="19" t="s">
        <v>941</v>
      </c>
    </row>
    <row r="23" customFormat="false" ht="15" hidden="false" customHeight="false" outlineLevel="0" collapsed="false">
      <c r="A23" s="19" t="s">
        <v>899</v>
      </c>
      <c r="B23" s="19" t="s">
        <v>942</v>
      </c>
      <c r="C23" s="19" t="s">
        <v>943</v>
      </c>
      <c r="D23" s="19"/>
    </row>
    <row r="24" customFormat="false" ht="15" hidden="false" customHeight="false" outlineLevel="0" collapsed="false">
      <c r="A24" s="19" t="s">
        <v>899</v>
      </c>
      <c r="B24" s="19" t="s">
        <v>944</v>
      </c>
      <c r="C24" s="19" t="s">
        <v>943</v>
      </c>
      <c r="D24" s="19" t="s">
        <v>945</v>
      </c>
    </row>
    <row r="25" customFormat="false" ht="15" hidden="false" customHeight="false" outlineLevel="0" collapsed="false">
      <c r="A25" s="19" t="s">
        <v>893</v>
      </c>
      <c r="B25" s="19" t="s">
        <v>946</v>
      </c>
      <c r="C25" s="19" t="s">
        <v>947</v>
      </c>
      <c r="D25" s="19" t="s">
        <v>948</v>
      </c>
    </row>
    <row r="26" customFormat="false" ht="15" hidden="false" customHeight="false" outlineLevel="0" collapsed="false">
      <c r="A26" s="19" t="s">
        <v>899</v>
      </c>
      <c r="B26" s="19" t="s">
        <v>887</v>
      </c>
      <c r="C26" s="19" t="s">
        <v>949</v>
      </c>
      <c r="D26" s="19" t="s">
        <v>950</v>
      </c>
    </row>
    <row r="27" customFormat="false" ht="15" hidden="false" customHeight="false" outlineLevel="0" collapsed="false">
      <c r="A27" s="19" t="s">
        <v>85</v>
      </c>
      <c r="B27" s="19" t="s">
        <v>951</v>
      </c>
      <c r="C27" s="19" t="s">
        <v>85</v>
      </c>
      <c r="D27" s="19" t="s">
        <v>952</v>
      </c>
    </row>
  </sheetData>
  <autoFilter ref="A2:D2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50"/>
    <col collapsed="false" customWidth="true" hidden="false" outlineLevel="0" max="3" min="3" style="0" width="16"/>
    <col collapsed="false" customWidth="true" hidden="false" outlineLevel="0" max="4" min="4" style="0" width="90"/>
    <col collapsed="false" customWidth="true" hidden="false" outlineLevel="0" max="5" min="5" style="0" width="38"/>
    <col collapsed="false" customWidth="true" hidden="false" outlineLevel="0" max="6" min="6" style="0" width="14"/>
  </cols>
  <sheetData>
    <row r="1" customFormat="false" ht="16.15" hidden="false" customHeight="false" outlineLevel="0" collapsed="false">
      <c r="A1" s="16" t="s">
        <v>953</v>
      </c>
    </row>
    <row r="2" customFormat="false" ht="30" hidden="false" customHeight="true" outlineLevel="0" collapsed="false">
      <c r="A2" s="17" t="s">
        <v>954</v>
      </c>
      <c r="B2" s="17"/>
      <c r="C2" s="17"/>
      <c r="D2" s="17"/>
      <c r="E2" s="17"/>
      <c r="F2" s="17"/>
    </row>
    <row r="3" customFormat="false" ht="15" hidden="false" customHeight="false" outlineLevel="0" collapsed="false">
      <c r="A3" s="18" t="s">
        <v>955</v>
      </c>
      <c r="B3" s="18" t="s">
        <v>197</v>
      </c>
      <c r="C3" s="18" t="s">
        <v>956</v>
      </c>
      <c r="D3" s="18" t="s">
        <v>957</v>
      </c>
      <c r="E3" s="18" t="s">
        <v>958</v>
      </c>
      <c r="F3" s="18" t="s">
        <v>959</v>
      </c>
    </row>
    <row r="4" customFormat="false" ht="23.85" hidden="false" customHeight="false" outlineLevel="0" collapsed="false">
      <c r="A4" s="19" t="s">
        <v>960</v>
      </c>
      <c r="B4" s="19" t="s">
        <v>961</v>
      </c>
      <c r="C4" s="19" t="s">
        <v>962</v>
      </c>
      <c r="D4" s="19" t="s">
        <v>963</v>
      </c>
      <c r="E4" s="19" t="s">
        <v>964</v>
      </c>
      <c r="F4" s="19" t="s">
        <v>965</v>
      </c>
    </row>
    <row r="5" customFormat="false" ht="23.85" hidden="false" customHeight="false" outlineLevel="0" collapsed="false">
      <c r="A5" s="19" t="s">
        <v>966</v>
      </c>
      <c r="B5" s="19" t="s">
        <v>967</v>
      </c>
      <c r="C5" s="19" t="s">
        <v>962</v>
      </c>
      <c r="D5" s="19" t="s">
        <v>968</v>
      </c>
      <c r="E5" s="19" t="s">
        <v>969</v>
      </c>
      <c r="F5" s="19" t="s">
        <v>970</v>
      </c>
    </row>
    <row r="6" customFormat="false" ht="23.85" hidden="false" customHeight="false" outlineLevel="0" collapsed="false">
      <c r="A6" s="19" t="s">
        <v>971</v>
      </c>
      <c r="B6" s="19" t="s">
        <v>972</v>
      </c>
      <c r="C6" s="19" t="s">
        <v>962</v>
      </c>
      <c r="D6" s="19" t="s">
        <v>973</v>
      </c>
      <c r="E6" s="19" t="s">
        <v>974</v>
      </c>
      <c r="F6" s="19" t="s">
        <v>970</v>
      </c>
    </row>
    <row r="7" customFormat="false" ht="23.85" hidden="false" customHeight="false" outlineLevel="0" collapsed="false">
      <c r="A7" s="19" t="s">
        <v>690</v>
      </c>
      <c r="B7" s="19" t="s">
        <v>975</v>
      </c>
      <c r="C7" s="19" t="s">
        <v>962</v>
      </c>
      <c r="D7" s="19" t="s">
        <v>976</v>
      </c>
      <c r="E7" s="19" t="s">
        <v>977</v>
      </c>
      <c r="F7" s="19" t="s">
        <v>965</v>
      </c>
    </row>
    <row r="8" customFormat="false" ht="15" hidden="false" customHeight="false" outlineLevel="0" collapsed="false">
      <c r="A8" s="19" t="s">
        <v>978</v>
      </c>
      <c r="B8" s="19" t="s">
        <v>979</v>
      </c>
      <c r="C8" s="19" t="s">
        <v>962</v>
      </c>
      <c r="D8" s="19" t="s">
        <v>980</v>
      </c>
      <c r="E8" s="19" t="s">
        <v>324</v>
      </c>
      <c r="F8" s="19" t="s">
        <v>981</v>
      </c>
    </row>
    <row r="9" customFormat="false" ht="15" hidden="false" customHeight="false" outlineLevel="0" collapsed="false">
      <c r="A9" s="20" t="s">
        <v>982</v>
      </c>
      <c r="B9" s="20"/>
      <c r="C9" s="20"/>
      <c r="D9" s="20"/>
      <c r="E9" s="20"/>
      <c r="F9" s="20"/>
    </row>
    <row r="10" customFormat="false" ht="23.85" hidden="false" customHeight="false" outlineLevel="0" collapsed="false">
      <c r="A10" s="19" t="s">
        <v>983</v>
      </c>
      <c r="B10" s="19" t="s">
        <v>984</v>
      </c>
      <c r="C10" s="19"/>
      <c r="D10" s="19"/>
      <c r="E10" s="19"/>
      <c r="F10" s="19"/>
    </row>
    <row r="11" customFormat="false" ht="35.05" hidden="false" customHeight="false" outlineLevel="0" collapsed="false">
      <c r="A11" s="19" t="s">
        <v>985</v>
      </c>
      <c r="B11" s="19" t="s">
        <v>986</v>
      </c>
      <c r="C11" s="19"/>
      <c r="D11" s="19"/>
      <c r="E11" s="19"/>
      <c r="F11" s="19"/>
    </row>
    <row r="12" customFormat="false" ht="23.85" hidden="false" customHeight="false" outlineLevel="0" collapsed="false">
      <c r="A12" s="19" t="s">
        <v>987</v>
      </c>
      <c r="B12" s="19" t="s">
        <v>988</v>
      </c>
      <c r="C12" s="19"/>
      <c r="D12" s="19"/>
      <c r="E12" s="19"/>
      <c r="F12" s="19"/>
    </row>
    <row r="13" customFormat="false" ht="23.85" hidden="false" customHeight="false" outlineLevel="0" collapsed="false">
      <c r="A13" s="19" t="s">
        <v>989</v>
      </c>
      <c r="B13" s="19" t="s">
        <v>990</v>
      </c>
      <c r="C13" s="19"/>
      <c r="D13" s="19"/>
      <c r="E13" s="19"/>
      <c r="F13" s="19"/>
    </row>
    <row r="14" customFormat="false" ht="35.05" hidden="false" customHeight="false" outlineLevel="0" collapsed="false">
      <c r="A14" s="19" t="s">
        <v>991</v>
      </c>
      <c r="B14" s="19" t="s">
        <v>992</v>
      </c>
      <c r="C14" s="19"/>
      <c r="D14" s="19"/>
      <c r="E14" s="19"/>
      <c r="F14" s="19"/>
    </row>
    <row r="15" customFormat="false" ht="15" hidden="false" customHeight="false" outlineLevel="0" collapsed="false">
      <c r="A15" s="20" t="s">
        <v>993</v>
      </c>
      <c r="B15" s="20"/>
      <c r="C15" s="20"/>
      <c r="D15" s="20"/>
      <c r="E15" s="20"/>
      <c r="F15" s="20"/>
    </row>
    <row r="16" customFormat="false" ht="46.25" hidden="false" customHeight="false" outlineLevel="0" collapsed="false">
      <c r="A16" s="19" t="s">
        <v>994</v>
      </c>
      <c r="B16" s="19" t="s">
        <v>995</v>
      </c>
      <c r="C16" s="19"/>
      <c r="D16" s="19"/>
      <c r="E16" s="19"/>
      <c r="F16" s="19" t="s">
        <v>996</v>
      </c>
    </row>
    <row r="17" customFormat="false" ht="35.05" hidden="false" customHeight="false" outlineLevel="0" collapsed="false">
      <c r="A17" s="19" t="s">
        <v>997</v>
      </c>
      <c r="B17" s="19" t="s">
        <v>998</v>
      </c>
      <c r="C17" s="19"/>
      <c r="D17" s="19"/>
      <c r="E17" s="19"/>
      <c r="F17" s="19"/>
    </row>
    <row r="18" customFormat="false" ht="23.85" hidden="false" customHeight="false" outlineLevel="0" collapsed="false">
      <c r="A18" s="19" t="s">
        <v>999</v>
      </c>
      <c r="B18" s="19" t="s">
        <v>1000</v>
      </c>
      <c r="C18" s="19"/>
      <c r="D18" s="19"/>
      <c r="E18" s="19"/>
      <c r="F18" s="19"/>
    </row>
  </sheetData>
  <autoFilter ref="A3:F18"/>
  <mergeCells count="1"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2"/>
    <col collapsed="false" customWidth="true" hidden="false" outlineLevel="0" max="3" min="3" style="0" width="80"/>
    <col collapsed="false" customWidth="true" hidden="false" outlineLevel="0" max="4" min="4" style="0" width="34"/>
  </cols>
  <sheetData>
    <row r="1" customFormat="false" ht="16.15" hidden="false" customHeight="false" outlineLevel="0" collapsed="false">
      <c r="A1" s="16" t="s">
        <v>1001</v>
      </c>
    </row>
    <row r="2" customFormat="false" ht="30" hidden="false" customHeight="true" outlineLevel="0" collapsed="false">
      <c r="A2" s="17" t="s">
        <v>1002</v>
      </c>
      <c r="B2" s="17"/>
      <c r="C2" s="17"/>
      <c r="D2" s="17"/>
    </row>
    <row r="3" customFormat="false" ht="15" hidden="false" customHeight="false" outlineLevel="0" collapsed="false">
      <c r="A3" s="18" t="s">
        <v>1003</v>
      </c>
      <c r="B3" s="18" t="s">
        <v>1004</v>
      </c>
      <c r="C3" s="18" t="s">
        <v>1005</v>
      </c>
      <c r="D3" s="18" t="s">
        <v>134</v>
      </c>
    </row>
    <row r="4" customFormat="false" ht="15" hidden="false" customHeight="false" outlineLevel="0" collapsed="false">
      <c r="A4" s="19" t="s">
        <v>1006</v>
      </c>
      <c r="B4" s="19" t="s">
        <v>1007</v>
      </c>
      <c r="C4" s="19" t="s">
        <v>1008</v>
      </c>
      <c r="D4" s="19" t="s">
        <v>1009</v>
      </c>
    </row>
    <row r="5" customFormat="false" ht="15" hidden="false" customHeight="false" outlineLevel="0" collapsed="false">
      <c r="A5" s="19" t="s">
        <v>1010</v>
      </c>
      <c r="B5" s="19" t="s">
        <v>1011</v>
      </c>
      <c r="C5" s="19" t="s">
        <v>1012</v>
      </c>
      <c r="D5" s="19" t="s">
        <v>1013</v>
      </c>
    </row>
    <row r="6" customFormat="false" ht="15" hidden="false" customHeight="false" outlineLevel="0" collapsed="false">
      <c r="A6" s="19" t="s">
        <v>1014</v>
      </c>
      <c r="B6" s="19" t="s">
        <v>1015</v>
      </c>
      <c r="C6" s="19" t="s">
        <v>1016</v>
      </c>
      <c r="D6" s="19" t="s">
        <v>1017</v>
      </c>
    </row>
    <row r="7" customFormat="false" ht="15" hidden="false" customHeight="false" outlineLevel="0" collapsed="false">
      <c r="A7" s="19" t="s">
        <v>1018</v>
      </c>
      <c r="B7" s="19" t="s">
        <v>1019</v>
      </c>
      <c r="C7" s="19" t="s">
        <v>1020</v>
      </c>
      <c r="D7" s="19" t="s">
        <v>1017</v>
      </c>
    </row>
    <row r="8" customFormat="false" ht="15" hidden="false" customHeight="false" outlineLevel="0" collapsed="false">
      <c r="A8" s="19" t="s">
        <v>1021</v>
      </c>
      <c r="B8" s="19" t="s">
        <v>1015</v>
      </c>
      <c r="C8" s="19" t="s">
        <v>1022</v>
      </c>
      <c r="D8" s="19" t="s">
        <v>1013</v>
      </c>
    </row>
    <row r="9" customFormat="false" ht="15" hidden="false" customHeight="false" outlineLevel="0" collapsed="false">
      <c r="A9" s="19" t="s">
        <v>1023</v>
      </c>
      <c r="B9" s="19" t="s">
        <v>1024</v>
      </c>
      <c r="C9" s="19" t="s">
        <v>1025</v>
      </c>
      <c r="D9" s="19" t="s">
        <v>1017</v>
      </c>
    </row>
    <row r="10" customFormat="false" ht="15" hidden="false" customHeight="false" outlineLevel="0" collapsed="false">
      <c r="A10" s="19" t="s">
        <v>1026</v>
      </c>
      <c r="B10" s="19" t="s">
        <v>1027</v>
      </c>
      <c r="C10" s="19" t="s">
        <v>1028</v>
      </c>
      <c r="D10" s="19" t="s">
        <v>1029</v>
      </c>
    </row>
    <row r="11" customFormat="false" ht="15" hidden="false" customHeight="false" outlineLevel="0" collapsed="false">
      <c r="A11" s="19" t="s">
        <v>1030</v>
      </c>
      <c r="B11" s="19" t="s">
        <v>1015</v>
      </c>
      <c r="C11" s="19" t="s">
        <v>1031</v>
      </c>
      <c r="D11" s="19" t="s">
        <v>1032</v>
      </c>
    </row>
    <row r="12" customFormat="false" ht="15" hidden="false" customHeight="false" outlineLevel="0" collapsed="false">
      <c r="A12" s="19" t="s">
        <v>1033</v>
      </c>
      <c r="B12" s="19" t="s">
        <v>1034</v>
      </c>
      <c r="C12" s="19" t="s">
        <v>1035</v>
      </c>
      <c r="D12" s="19" t="s">
        <v>1036</v>
      </c>
    </row>
    <row r="13" customFormat="false" ht="23.85" hidden="false" customHeight="false" outlineLevel="0" collapsed="false">
      <c r="A13" s="19" t="s">
        <v>1037</v>
      </c>
      <c r="B13" s="19" t="s">
        <v>1038</v>
      </c>
      <c r="C13" s="19" t="s">
        <v>1039</v>
      </c>
      <c r="D13" s="19" t="s">
        <v>1036</v>
      </c>
    </row>
    <row r="14" customFormat="false" ht="23.85" hidden="false" customHeight="false" outlineLevel="0" collapsed="false">
      <c r="A14" s="20" t="s">
        <v>1040</v>
      </c>
      <c r="B14" s="20"/>
      <c r="C14" s="20"/>
      <c r="D14" s="20"/>
    </row>
    <row r="15" customFormat="false" ht="23.85" hidden="false" customHeight="false" outlineLevel="0" collapsed="false">
      <c r="A15" s="19" t="s">
        <v>1041</v>
      </c>
      <c r="B15" s="19" t="s">
        <v>85</v>
      </c>
      <c r="C15" s="19" t="s">
        <v>1042</v>
      </c>
      <c r="D15" s="19" t="s">
        <v>124</v>
      </c>
    </row>
    <row r="16" customFormat="false" ht="15" hidden="false" customHeight="false" outlineLevel="0" collapsed="false">
      <c r="A16" s="19" t="s">
        <v>1043</v>
      </c>
      <c r="B16" s="19" t="s">
        <v>1044</v>
      </c>
      <c r="C16" s="19" t="s">
        <v>1045</v>
      </c>
      <c r="D16" s="19" t="s">
        <v>1046</v>
      </c>
    </row>
    <row r="17" customFormat="false" ht="15" hidden="false" customHeight="false" outlineLevel="0" collapsed="false">
      <c r="A17" s="19" t="s">
        <v>1047</v>
      </c>
      <c r="B17" s="19" t="s">
        <v>1044</v>
      </c>
      <c r="C17" s="19" t="s">
        <v>1048</v>
      </c>
      <c r="D17" s="19" t="s">
        <v>1046</v>
      </c>
    </row>
    <row r="18" customFormat="false" ht="23.85" hidden="false" customHeight="false" outlineLevel="0" collapsed="false">
      <c r="A18" s="19" t="s">
        <v>1049</v>
      </c>
      <c r="B18" s="19" t="s">
        <v>85</v>
      </c>
      <c r="C18" s="19" t="s">
        <v>1050</v>
      </c>
      <c r="D18" s="19" t="s">
        <v>124</v>
      </c>
    </row>
    <row r="19" customFormat="false" ht="15" hidden="false" customHeight="false" outlineLevel="0" collapsed="false">
      <c r="A19" s="19" t="s">
        <v>1051</v>
      </c>
      <c r="B19" s="19" t="s">
        <v>1044</v>
      </c>
      <c r="C19" s="19" t="s">
        <v>1052</v>
      </c>
      <c r="D19" s="19" t="s">
        <v>1046</v>
      </c>
    </row>
    <row r="20" customFormat="false" ht="15" hidden="false" customHeight="false" outlineLevel="0" collapsed="false">
      <c r="A20" s="19" t="s">
        <v>1053</v>
      </c>
      <c r="B20" s="19" t="s">
        <v>1054</v>
      </c>
      <c r="C20" s="19" t="s">
        <v>1055</v>
      </c>
      <c r="D20" s="19" t="s">
        <v>1056</v>
      </c>
    </row>
  </sheetData>
  <autoFilter ref="A3:D20"/>
  <mergeCells count="1"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70"/>
    <col collapsed="false" customWidth="true" hidden="false" outlineLevel="0" max="4" min="4" style="0" width="60"/>
    <col collapsed="false" customWidth="true" hidden="false" outlineLevel="0" max="5" min="5" style="0" width="20"/>
    <col collapsed="false" customWidth="true" hidden="false" outlineLevel="0" max="6" min="6" style="0" width="13"/>
    <col collapsed="false" customWidth="true" hidden="false" outlineLevel="0" max="7" min="7" style="0" width="16"/>
  </cols>
  <sheetData>
    <row r="1" customFormat="false" ht="16.15" hidden="false" customHeight="false" outlineLevel="0" collapsed="false">
      <c r="A1" s="16" t="s">
        <v>1057</v>
      </c>
    </row>
    <row r="2" customFormat="false" ht="30" hidden="false" customHeight="true" outlineLevel="0" collapsed="false">
      <c r="A2" s="17" t="s">
        <v>1058</v>
      </c>
      <c r="B2" s="17"/>
      <c r="C2" s="17"/>
      <c r="D2" s="17"/>
      <c r="E2" s="17"/>
      <c r="F2" s="17"/>
      <c r="G2" s="17"/>
    </row>
    <row r="3" customFormat="false" ht="15" hidden="false" customHeight="false" outlineLevel="0" collapsed="false">
      <c r="A3" s="18" t="s">
        <v>1059</v>
      </c>
      <c r="B3" s="18" t="s">
        <v>5</v>
      </c>
      <c r="C3" s="18" t="s">
        <v>1060</v>
      </c>
      <c r="D3" s="18" t="s">
        <v>1061</v>
      </c>
      <c r="E3" s="18" t="s">
        <v>1062</v>
      </c>
      <c r="F3" s="18" t="s">
        <v>134</v>
      </c>
      <c r="G3" s="18" t="s">
        <v>662</v>
      </c>
    </row>
    <row r="4" customFormat="false" ht="15" hidden="false" customHeight="false" outlineLevel="0" collapsed="false">
      <c r="A4" s="19" t="s">
        <v>1063</v>
      </c>
      <c r="B4" s="19" t="s">
        <v>1064</v>
      </c>
      <c r="C4" s="19" t="s">
        <v>1065</v>
      </c>
      <c r="D4" s="19" t="s">
        <v>1066</v>
      </c>
      <c r="E4" s="19"/>
      <c r="F4" s="19" t="s">
        <v>1067</v>
      </c>
      <c r="G4" s="19" t="s">
        <v>1068</v>
      </c>
    </row>
    <row r="5" customFormat="false" ht="15" hidden="false" customHeight="false" outlineLevel="0" collapsed="false">
      <c r="A5" s="19" t="s">
        <v>1069</v>
      </c>
      <c r="B5" s="19" t="s">
        <v>1064</v>
      </c>
      <c r="C5" s="19" t="s">
        <v>1070</v>
      </c>
      <c r="D5" s="19" t="s">
        <v>1071</v>
      </c>
      <c r="E5" s="19"/>
      <c r="F5" s="19" t="s">
        <v>1067</v>
      </c>
      <c r="G5" s="19" t="s">
        <v>1072</v>
      </c>
    </row>
    <row r="6" customFormat="false" ht="15" hidden="false" customHeight="false" outlineLevel="0" collapsed="false">
      <c r="A6" s="19" t="s">
        <v>1073</v>
      </c>
      <c r="B6" s="19" t="s">
        <v>1064</v>
      </c>
      <c r="C6" s="19" t="s">
        <v>1074</v>
      </c>
      <c r="D6" s="19" t="s">
        <v>1075</v>
      </c>
      <c r="E6" s="19" t="s">
        <v>1069</v>
      </c>
      <c r="F6" s="19" t="s">
        <v>1067</v>
      </c>
      <c r="G6" s="19" t="s">
        <v>1072</v>
      </c>
    </row>
    <row r="7" customFormat="false" ht="15" hidden="false" customHeight="false" outlineLevel="0" collapsed="false">
      <c r="A7" s="19" t="s">
        <v>1076</v>
      </c>
      <c r="B7" s="19" t="s">
        <v>1064</v>
      </c>
      <c r="C7" s="19" t="s">
        <v>1077</v>
      </c>
      <c r="D7" s="19" t="s">
        <v>1078</v>
      </c>
      <c r="E7" s="19" t="s">
        <v>1073</v>
      </c>
      <c r="F7" s="19" t="s">
        <v>1067</v>
      </c>
      <c r="G7" s="19" t="s">
        <v>1072</v>
      </c>
    </row>
    <row r="8" customFormat="false" ht="15" hidden="false" customHeight="false" outlineLevel="0" collapsed="false">
      <c r="A8" s="19" t="s">
        <v>1079</v>
      </c>
      <c r="B8" s="19" t="s">
        <v>1064</v>
      </c>
      <c r="C8" s="19" t="s">
        <v>1080</v>
      </c>
      <c r="D8" s="19" t="s">
        <v>1081</v>
      </c>
      <c r="E8" s="19" t="s">
        <v>1073</v>
      </c>
      <c r="F8" s="19" t="s">
        <v>1067</v>
      </c>
      <c r="G8" s="19" t="s">
        <v>1072</v>
      </c>
    </row>
    <row r="9" customFormat="false" ht="15" hidden="false" customHeight="false" outlineLevel="0" collapsed="false">
      <c r="A9" s="19" t="s">
        <v>1082</v>
      </c>
      <c r="B9" s="19" t="s">
        <v>1064</v>
      </c>
      <c r="C9" s="19" t="s">
        <v>1083</v>
      </c>
      <c r="D9" s="19" t="s">
        <v>1084</v>
      </c>
      <c r="E9" s="19" t="s">
        <v>1069</v>
      </c>
      <c r="F9" s="19" t="s">
        <v>1067</v>
      </c>
      <c r="G9" s="19" t="s">
        <v>1072</v>
      </c>
    </row>
    <row r="10" customFormat="false" ht="15" hidden="false" customHeight="false" outlineLevel="0" collapsed="false">
      <c r="A10" s="19" t="s">
        <v>1085</v>
      </c>
      <c r="B10" s="19" t="s">
        <v>1064</v>
      </c>
      <c r="C10" s="19" t="s">
        <v>1086</v>
      </c>
      <c r="D10" s="19" t="s">
        <v>1087</v>
      </c>
      <c r="E10" s="19" t="s">
        <v>1088</v>
      </c>
      <c r="F10" s="19" t="s">
        <v>1067</v>
      </c>
      <c r="G10" s="19" t="s">
        <v>1089</v>
      </c>
    </row>
    <row r="11" customFormat="false" ht="15" hidden="false" customHeight="false" outlineLevel="0" collapsed="false">
      <c r="A11" s="19" t="s">
        <v>1090</v>
      </c>
      <c r="B11" s="19" t="s">
        <v>1091</v>
      </c>
      <c r="C11" s="19" t="s">
        <v>1092</v>
      </c>
      <c r="D11" s="19" t="s">
        <v>1093</v>
      </c>
      <c r="E11" s="19"/>
      <c r="F11" s="19" t="s">
        <v>1067</v>
      </c>
      <c r="G11" s="19" t="s">
        <v>1072</v>
      </c>
    </row>
    <row r="12" customFormat="false" ht="15" hidden="false" customHeight="false" outlineLevel="0" collapsed="false">
      <c r="A12" s="19" t="s">
        <v>1094</v>
      </c>
      <c r="B12" s="19" t="s">
        <v>1091</v>
      </c>
      <c r="C12" s="19" t="s">
        <v>1095</v>
      </c>
      <c r="D12" s="19" t="s">
        <v>1096</v>
      </c>
      <c r="E12" s="19" t="s">
        <v>1090</v>
      </c>
      <c r="F12" s="19" t="s">
        <v>1067</v>
      </c>
      <c r="G12" s="19" t="s">
        <v>1072</v>
      </c>
    </row>
    <row r="13" customFormat="false" ht="15" hidden="false" customHeight="false" outlineLevel="0" collapsed="false">
      <c r="A13" s="19" t="s">
        <v>1097</v>
      </c>
      <c r="B13" s="19" t="s">
        <v>1091</v>
      </c>
      <c r="C13" s="19" t="s">
        <v>1098</v>
      </c>
      <c r="D13" s="19" t="s">
        <v>1099</v>
      </c>
      <c r="E13" s="19"/>
      <c r="F13" s="19" t="s">
        <v>202</v>
      </c>
      <c r="G13" s="19" t="s">
        <v>141</v>
      </c>
    </row>
    <row r="14" customFormat="false" ht="15" hidden="false" customHeight="false" outlineLevel="0" collapsed="false">
      <c r="A14" s="19" t="s">
        <v>1100</v>
      </c>
      <c r="B14" s="19" t="s">
        <v>1091</v>
      </c>
      <c r="C14" s="19" t="s">
        <v>1101</v>
      </c>
      <c r="D14" s="19" t="s">
        <v>1102</v>
      </c>
      <c r="E14" s="19" t="s">
        <v>1097</v>
      </c>
      <c r="F14" s="19" t="s">
        <v>202</v>
      </c>
      <c r="G14" s="19" t="s">
        <v>141</v>
      </c>
    </row>
    <row r="15" customFormat="false" ht="23.85" hidden="false" customHeight="false" outlineLevel="0" collapsed="false">
      <c r="A15" s="19" t="s">
        <v>1103</v>
      </c>
      <c r="B15" s="19" t="s">
        <v>1091</v>
      </c>
      <c r="C15" s="19" t="s">
        <v>1104</v>
      </c>
      <c r="D15" s="19" t="s">
        <v>1105</v>
      </c>
      <c r="E15" s="19" t="s">
        <v>1100</v>
      </c>
      <c r="F15" s="19" t="s">
        <v>1067</v>
      </c>
      <c r="G15" s="19" t="s">
        <v>1072</v>
      </c>
    </row>
    <row r="16" customFormat="false" ht="15" hidden="false" customHeight="false" outlineLevel="0" collapsed="false">
      <c r="A16" s="19" t="s">
        <v>1106</v>
      </c>
      <c r="B16" s="19" t="s">
        <v>1091</v>
      </c>
      <c r="C16" s="19" t="s">
        <v>1107</v>
      </c>
      <c r="D16" s="19" t="s">
        <v>1108</v>
      </c>
      <c r="E16" s="19" t="s">
        <v>1103</v>
      </c>
      <c r="F16" s="19" t="s">
        <v>1067</v>
      </c>
      <c r="G16" s="19" t="s">
        <v>1072</v>
      </c>
    </row>
    <row r="17" customFormat="false" ht="15" hidden="false" customHeight="false" outlineLevel="0" collapsed="false">
      <c r="A17" s="19" t="s">
        <v>1109</v>
      </c>
      <c r="B17" s="19" t="s">
        <v>1091</v>
      </c>
      <c r="C17" s="19" t="s">
        <v>1110</v>
      </c>
      <c r="D17" s="19" t="s">
        <v>1111</v>
      </c>
      <c r="E17" s="19" t="s">
        <v>1103</v>
      </c>
      <c r="F17" s="19" t="s">
        <v>1067</v>
      </c>
      <c r="G17" s="19" t="s">
        <v>1072</v>
      </c>
    </row>
    <row r="18" customFormat="false" ht="15" hidden="false" customHeight="false" outlineLevel="0" collapsed="false">
      <c r="A18" s="19" t="s">
        <v>1112</v>
      </c>
      <c r="B18" s="19" t="s">
        <v>841</v>
      </c>
      <c r="C18" s="19" t="s">
        <v>1113</v>
      </c>
      <c r="D18" s="19" t="s">
        <v>1114</v>
      </c>
      <c r="E18" s="19" t="s">
        <v>1109</v>
      </c>
      <c r="F18" s="19" t="s">
        <v>1067</v>
      </c>
      <c r="G18" s="19" t="s">
        <v>1072</v>
      </c>
    </row>
    <row r="19" customFormat="false" ht="15" hidden="false" customHeight="false" outlineLevel="0" collapsed="false">
      <c r="A19" s="19" t="s">
        <v>1115</v>
      </c>
      <c r="B19" s="19" t="s">
        <v>841</v>
      </c>
      <c r="C19" s="19" t="s">
        <v>1116</v>
      </c>
      <c r="D19" s="19" t="s">
        <v>1117</v>
      </c>
      <c r="E19" s="19" t="s">
        <v>1118</v>
      </c>
      <c r="F19" s="19" t="s">
        <v>1067</v>
      </c>
      <c r="G19" s="19" t="s">
        <v>1072</v>
      </c>
    </row>
    <row r="20" customFormat="false" ht="15" hidden="false" customHeight="false" outlineLevel="0" collapsed="false">
      <c r="A20" s="19" t="s">
        <v>1119</v>
      </c>
      <c r="B20" s="19" t="s">
        <v>841</v>
      </c>
      <c r="C20" s="19" t="s">
        <v>1120</v>
      </c>
      <c r="D20" s="19" t="s">
        <v>1121</v>
      </c>
      <c r="E20" s="19" t="s">
        <v>1115</v>
      </c>
      <c r="F20" s="19" t="s">
        <v>1122</v>
      </c>
      <c r="G20" s="19" t="s">
        <v>1072</v>
      </c>
    </row>
    <row r="21" customFormat="false" ht="15" hidden="false" customHeight="false" outlineLevel="0" collapsed="false">
      <c r="A21" s="19" t="s">
        <v>1123</v>
      </c>
      <c r="B21" s="19" t="s">
        <v>841</v>
      </c>
      <c r="C21" s="19" t="s">
        <v>1124</v>
      </c>
      <c r="D21" s="19" t="s">
        <v>1125</v>
      </c>
      <c r="E21" s="19" t="s">
        <v>1115</v>
      </c>
      <c r="F21" s="19" t="s">
        <v>1067</v>
      </c>
      <c r="G21" s="19" t="s">
        <v>1072</v>
      </c>
    </row>
    <row r="22" customFormat="false" ht="15" hidden="false" customHeight="false" outlineLevel="0" collapsed="false">
      <c r="A22" s="19" t="s">
        <v>1126</v>
      </c>
      <c r="B22" s="19" t="s">
        <v>841</v>
      </c>
      <c r="C22" s="19" t="s">
        <v>1127</v>
      </c>
      <c r="D22" s="19" t="s">
        <v>1128</v>
      </c>
      <c r="E22" s="19" t="s">
        <v>1123</v>
      </c>
      <c r="F22" s="19" t="s">
        <v>1067</v>
      </c>
      <c r="G22" s="19" t="s">
        <v>1072</v>
      </c>
    </row>
    <row r="23" customFormat="false" ht="15" hidden="false" customHeight="false" outlineLevel="0" collapsed="false">
      <c r="A23" s="19" t="s">
        <v>1129</v>
      </c>
      <c r="B23" s="19" t="s">
        <v>841</v>
      </c>
      <c r="C23" s="19" t="s">
        <v>1130</v>
      </c>
      <c r="D23" s="19" t="s">
        <v>1131</v>
      </c>
      <c r="E23" s="19" t="s">
        <v>1132</v>
      </c>
      <c r="F23" s="19" t="s">
        <v>1067</v>
      </c>
      <c r="G23" s="19" t="s">
        <v>1072</v>
      </c>
    </row>
    <row r="24" customFormat="false" ht="15" hidden="false" customHeight="false" outlineLevel="0" collapsed="false">
      <c r="A24" s="19" t="s">
        <v>1133</v>
      </c>
      <c r="B24" s="19" t="s">
        <v>841</v>
      </c>
      <c r="C24" s="19" t="s">
        <v>1134</v>
      </c>
      <c r="D24" s="19" t="s">
        <v>1135</v>
      </c>
      <c r="E24" s="19" t="s">
        <v>1112</v>
      </c>
      <c r="F24" s="19" t="s">
        <v>1067</v>
      </c>
      <c r="G24" s="19" t="s">
        <v>1072</v>
      </c>
    </row>
    <row r="25" customFormat="false" ht="15" hidden="false" customHeight="false" outlineLevel="0" collapsed="false">
      <c r="A25" s="19" t="s">
        <v>1136</v>
      </c>
      <c r="B25" s="19" t="s">
        <v>858</v>
      </c>
      <c r="C25" s="19" t="s">
        <v>1137</v>
      </c>
      <c r="D25" s="19" t="s">
        <v>1138</v>
      </c>
      <c r="E25" s="19" t="s">
        <v>1139</v>
      </c>
      <c r="F25" s="19" t="s">
        <v>1067</v>
      </c>
      <c r="G25" s="19" t="s">
        <v>1072</v>
      </c>
    </row>
    <row r="26" customFormat="false" ht="15" hidden="false" customHeight="false" outlineLevel="0" collapsed="false">
      <c r="A26" s="19" t="s">
        <v>1140</v>
      </c>
      <c r="B26" s="19" t="s">
        <v>858</v>
      </c>
      <c r="C26" s="19" t="s">
        <v>769</v>
      </c>
      <c r="D26" s="19" t="s">
        <v>1141</v>
      </c>
      <c r="E26" s="19" t="s">
        <v>1136</v>
      </c>
      <c r="F26" s="19" t="s">
        <v>1067</v>
      </c>
      <c r="G26" s="19" t="s">
        <v>1072</v>
      </c>
    </row>
    <row r="27" customFormat="false" ht="15" hidden="false" customHeight="false" outlineLevel="0" collapsed="false">
      <c r="A27" s="19" t="s">
        <v>1142</v>
      </c>
      <c r="B27" s="19" t="s">
        <v>858</v>
      </c>
      <c r="C27" s="19" t="s">
        <v>1143</v>
      </c>
      <c r="D27" s="19" t="s">
        <v>1144</v>
      </c>
      <c r="E27" s="19" t="s">
        <v>1136</v>
      </c>
      <c r="F27" s="19" t="s">
        <v>1122</v>
      </c>
      <c r="G27" s="19" t="s">
        <v>1072</v>
      </c>
    </row>
    <row r="28" customFormat="false" ht="15" hidden="false" customHeight="false" outlineLevel="0" collapsed="false">
      <c r="A28" s="19" t="s">
        <v>1145</v>
      </c>
      <c r="B28" s="19" t="s">
        <v>858</v>
      </c>
      <c r="C28" s="19" t="s">
        <v>1146</v>
      </c>
      <c r="D28" s="19" t="s">
        <v>1147</v>
      </c>
      <c r="E28" s="19" t="s">
        <v>1140</v>
      </c>
      <c r="F28" s="19" t="s">
        <v>1067</v>
      </c>
      <c r="G28" s="19" t="s">
        <v>1072</v>
      </c>
    </row>
    <row r="29" customFormat="false" ht="15" hidden="false" customHeight="false" outlineLevel="0" collapsed="false">
      <c r="A29" s="19" t="s">
        <v>1148</v>
      </c>
      <c r="B29" s="19" t="s">
        <v>858</v>
      </c>
      <c r="C29" s="19" t="s">
        <v>1149</v>
      </c>
      <c r="D29" s="19" t="s">
        <v>1150</v>
      </c>
      <c r="E29" s="19" t="s">
        <v>1145</v>
      </c>
      <c r="F29" s="19" t="s">
        <v>1067</v>
      </c>
      <c r="G29" s="19" t="s">
        <v>1072</v>
      </c>
    </row>
    <row r="30" customFormat="false" ht="15" hidden="false" customHeight="false" outlineLevel="0" collapsed="false">
      <c r="A30" s="19" t="s">
        <v>1151</v>
      </c>
      <c r="B30" s="19" t="s">
        <v>858</v>
      </c>
      <c r="C30" s="19" t="s">
        <v>1152</v>
      </c>
      <c r="D30" s="19" t="s">
        <v>1153</v>
      </c>
      <c r="E30" s="19" t="s">
        <v>1140</v>
      </c>
      <c r="F30" s="19" t="s">
        <v>1067</v>
      </c>
      <c r="G30" s="19" t="s">
        <v>1072</v>
      </c>
    </row>
    <row r="31" customFormat="false" ht="15" hidden="false" customHeight="false" outlineLevel="0" collapsed="false">
      <c r="A31" s="19" t="s">
        <v>1154</v>
      </c>
      <c r="B31" s="19" t="s">
        <v>871</v>
      </c>
      <c r="C31" s="19" t="s">
        <v>1155</v>
      </c>
      <c r="D31" s="19" t="s">
        <v>1156</v>
      </c>
      <c r="E31" s="19" t="s">
        <v>1145</v>
      </c>
      <c r="F31" s="19" t="s">
        <v>1067</v>
      </c>
      <c r="G31" s="19" t="s">
        <v>1072</v>
      </c>
    </row>
    <row r="32" customFormat="false" ht="15" hidden="false" customHeight="false" outlineLevel="0" collapsed="false">
      <c r="A32" s="19" t="s">
        <v>1157</v>
      </c>
      <c r="B32" s="19" t="s">
        <v>871</v>
      </c>
      <c r="C32" s="19" t="s">
        <v>1158</v>
      </c>
      <c r="D32" s="19" t="s">
        <v>1159</v>
      </c>
      <c r="E32" s="19" t="s">
        <v>1154</v>
      </c>
      <c r="F32" s="19" t="s">
        <v>1067</v>
      </c>
      <c r="G32" s="19" t="s">
        <v>1072</v>
      </c>
    </row>
    <row r="33" customFormat="false" ht="15" hidden="false" customHeight="false" outlineLevel="0" collapsed="false">
      <c r="A33" s="19" t="s">
        <v>1160</v>
      </c>
      <c r="B33" s="19" t="s">
        <v>871</v>
      </c>
      <c r="C33" s="19" t="s">
        <v>1161</v>
      </c>
      <c r="D33" s="19" t="s">
        <v>1162</v>
      </c>
      <c r="E33" s="19" t="s">
        <v>1154</v>
      </c>
      <c r="F33" s="19" t="s">
        <v>1067</v>
      </c>
      <c r="G33" s="19" t="s">
        <v>1072</v>
      </c>
    </row>
    <row r="34" customFormat="false" ht="15" hidden="false" customHeight="false" outlineLevel="0" collapsed="false">
      <c r="A34" s="19" t="s">
        <v>1163</v>
      </c>
      <c r="B34" s="19" t="s">
        <v>871</v>
      </c>
      <c r="C34" s="19" t="s">
        <v>1164</v>
      </c>
      <c r="D34" s="19" t="s">
        <v>1165</v>
      </c>
      <c r="E34" s="19" t="s">
        <v>1166</v>
      </c>
      <c r="F34" s="19" t="s">
        <v>1122</v>
      </c>
      <c r="G34" s="19" t="s">
        <v>1089</v>
      </c>
    </row>
    <row r="35" customFormat="false" ht="15" hidden="false" customHeight="false" outlineLevel="0" collapsed="false">
      <c r="A35" s="19" t="s">
        <v>1167</v>
      </c>
      <c r="B35" s="19" t="s">
        <v>871</v>
      </c>
      <c r="C35" s="19" t="s">
        <v>1168</v>
      </c>
      <c r="D35" s="19" t="s">
        <v>1169</v>
      </c>
      <c r="E35" s="19" t="s">
        <v>1163</v>
      </c>
      <c r="F35" s="19" t="s">
        <v>202</v>
      </c>
      <c r="G35" s="19" t="s">
        <v>141</v>
      </c>
    </row>
    <row r="36" customFormat="false" ht="15" hidden="false" customHeight="false" outlineLevel="0" collapsed="false">
      <c r="A36" s="19" t="s">
        <v>1170</v>
      </c>
      <c r="B36" s="19" t="s">
        <v>871</v>
      </c>
      <c r="C36" s="19" t="s">
        <v>1171</v>
      </c>
      <c r="D36" s="19" t="s">
        <v>1172</v>
      </c>
      <c r="E36" s="19" t="s">
        <v>1151</v>
      </c>
      <c r="F36" s="19" t="s">
        <v>1122</v>
      </c>
      <c r="G36" s="19" t="s">
        <v>1072</v>
      </c>
    </row>
    <row r="37" customFormat="false" ht="15" hidden="false" customHeight="false" outlineLevel="0" collapsed="false">
      <c r="A37" s="19" t="s">
        <v>1173</v>
      </c>
      <c r="B37" s="19" t="s">
        <v>871</v>
      </c>
      <c r="C37" s="19" t="s">
        <v>1174</v>
      </c>
      <c r="D37" s="19" t="s">
        <v>1175</v>
      </c>
      <c r="E37" s="19" t="s">
        <v>1170</v>
      </c>
      <c r="F37" s="19" t="s">
        <v>1067</v>
      </c>
      <c r="G37" s="19" t="s">
        <v>1072</v>
      </c>
    </row>
    <row r="38" customFormat="false" ht="15" hidden="false" customHeight="false" outlineLevel="0" collapsed="false">
      <c r="A38" s="19" t="s">
        <v>1176</v>
      </c>
      <c r="B38" s="19" t="s">
        <v>871</v>
      </c>
      <c r="C38" s="19" t="s">
        <v>1177</v>
      </c>
      <c r="D38" s="19" t="s">
        <v>1178</v>
      </c>
      <c r="E38" s="19" t="s">
        <v>1173</v>
      </c>
      <c r="F38" s="19" t="s">
        <v>1067</v>
      </c>
      <c r="G38" s="19" t="s">
        <v>1089</v>
      </c>
    </row>
    <row r="39" customFormat="false" ht="15" hidden="false" customHeight="false" outlineLevel="0" collapsed="false">
      <c r="A39" s="19" t="s">
        <v>1179</v>
      </c>
      <c r="B39" s="19" t="s">
        <v>14</v>
      </c>
      <c r="C39" s="19" t="s">
        <v>1180</v>
      </c>
      <c r="D39" s="19" t="s">
        <v>1181</v>
      </c>
      <c r="E39" s="19" t="s">
        <v>1176</v>
      </c>
      <c r="F39" s="19" t="s">
        <v>202</v>
      </c>
      <c r="G39" s="19" t="s">
        <v>141</v>
      </c>
    </row>
  </sheetData>
  <autoFilter ref="A3:G39"/>
  <mergeCells count="1">
    <mergeCell ref="A2:G2"/>
  </mergeCells>
  <conditionalFormatting sqref="F4:F39">
    <cfRule type="cellIs" priority="2" operator="equal" aboveAverage="0" equalAverage="0" bottom="0" percent="0" rank="0" text="" dxfId="6">
      <formula>"Hecho"</formula>
    </cfRule>
    <cfRule type="cellIs" priority="3" operator="equal" aboveAverage="0" equalAverage="0" bottom="0" percent="0" rank="0" text="" dxfId="7">
      <formula>"En curso"</formula>
    </cfRule>
    <cfRule type="cellIs" priority="4" operator="equal" aboveAverage="0" equalAverage="0" bottom="0" percent="0" rank="0" text="" dxfId="8">
      <formula>"Bloqueado"</formula>
    </cfRule>
  </conditionalFormatting>
  <dataValidations count="1">
    <dataValidation allowBlank="false" errorStyle="stop" operator="between" showDropDown="false" showErrorMessage="false" showInputMessage="false" sqref="F4:F39" type="list">
      <formula1>"Pendiente,En curso,Hecho,Bloqueado"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3" min="3" style="0" width="60"/>
    <col collapsed="false" customWidth="true" hidden="false" outlineLevel="0" max="4" min="4" style="0" width="70"/>
    <col collapsed="false" customWidth="true" hidden="false" outlineLevel="0" max="5" min="5" style="0" width="24"/>
    <col collapsed="false" customWidth="true" hidden="false" outlineLevel="0" max="6" min="6" style="0" width="12"/>
  </cols>
  <sheetData>
    <row r="1" customFormat="false" ht="16.15" hidden="false" customHeight="false" outlineLevel="0" collapsed="false">
      <c r="A1" s="16" t="s">
        <v>1182</v>
      </c>
    </row>
    <row r="2" customFormat="false" ht="30" hidden="false" customHeight="true" outlineLevel="0" collapsed="false">
      <c r="A2" s="17" t="s">
        <v>1183</v>
      </c>
      <c r="B2" s="17"/>
      <c r="C2" s="17"/>
      <c r="D2" s="17"/>
      <c r="E2" s="17"/>
      <c r="F2" s="17"/>
    </row>
    <row r="3" customFormat="false" ht="15" hidden="false" customHeight="false" outlineLevel="0" collapsed="false">
      <c r="A3" s="18" t="s">
        <v>1184</v>
      </c>
      <c r="B3" s="18" t="s">
        <v>662</v>
      </c>
      <c r="C3" s="18" t="s">
        <v>1185</v>
      </c>
      <c r="D3" s="18" t="s">
        <v>1186</v>
      </c>
      <c r="E3" s="18" t="s">
        <v>834</v>
      </c>
      <c r="F3" s="18" t="s">
        <v>1187</v>
      </c>
    </row>
    <row r="4" customFormat="false" ht="15" hidden="false" customHeight="false" outlineLevel="0" collapsed="false">
      <c r="A4" s="19" t="n">
        <v>1</v>
      </c>
      <c r="B4" s="19" t="s">
        <v>692</v>
      </c>
      <c r="C4" s="19" t="s">
        <v>1188</v>
      </c>
      <c r="D4" s="19" t="s">
        <v>1189</v>
      </c>
      <c r="E4" s="19" t="s">
        <v>842</v>
      </c>
      <c r="F4" s="19" t="s">
        <v>1019</v>
      </c>
    </row>
    <row r="5" customFormat="false" ht="23.85" hidden="false" customHeight="false" outlineLevel="0" collapsed="false">
      <c r="A5" s="19" t="n">
        <v>2</v>
      </c>
      <c r="B5" s="19" t="s">
        <v>692</v>
      </c>
      <c r="C5" s="19" t="s">
        <v>1190</v>
      </c>
      <c r="D5" s="19" t="s">
        <v>1191</v>
      </c>
      <c r="E5" s="19" t="s">
        <v>846</v>
      </c>
      <c r="F5" s="19" t="s">
        <v>1015</v>
      </c>
    </row>
    <row r="6" customFormat="false" ht="15" hidden="false" customHeight="false" outlineLevel="0" collapsed="false">
      <c r="A6" s="19" t="n">
        <v>3</v>
      </c>
      <c r="B6" s="19" t="s">
        <v>758</v>
      </c>
      <c r="C6" s="19" t="s">
        <v>1192</v>
      </c>
      <c r="D6" s="19" t="s">
        <v>1193</v>
      </c>
      <c r="E6" s="19" t="s">
        <v>850</v>
      </c>
      <c r="F6" s="19" t="s">
        <v>1007</v>
      </c>
    </row>
    <row r="7" customFormat="false" ht="15" hidden="false" customHeight="false" outlineLevel="0" collapsed="false">
      <c r="A7" s="19" t="n">
        <v>4</v>
      </c>
      <c r="B7" s="19" t="s">
        <v>758</v>
      </c>
      <c r="C7" s="19" t="s">
        <v>1194</v>
      </c>
      <c r="D7" s="19" t="s">
        <v>1195</v>
      </c>
      <c r="E7" s="19" t="s">
        <v>850</v>
      </c>
      <c r="F7" s="19" t="s">
        <v>1007</v>
      </c>
    </row>
    <row r="8" customFormat="false" ht="15" hidden="false" customHeight="false" outlineLevel="0" collapsed="false">
      <c r="A8" s="19" t="n">
        <v>5</v>
      </c>
      <c r="B8" s="19" t="s">
        <v>758</v>
      </c>
      <c r="C8" s="19" t="s">
        <v>1196</v>
      </c>
      <c r="D8" s="19" t="s">
        <v>1197</v>
      </c>
      <c r="E8" s="19" t="s">
        <v>850</v>
      </c>
      <c r="F8" s="19" t="s">
        <v>1198</v>
      </c>
    </row>
    <row r="9" customFormat="false" ht="15" hidden="false" customHeight="false" outlineLevel="0" collapsed="false">
      <c r="A9" s="19" t="n">
        <v>6</v>
      </c>
      <c r="B9" s="19" t="s">
        <v>698</v>
      </c>
      <c r="C9" s="19" t="s">
        <v>1199</v>
      </c>
      <c r="D9" s="19" t="s">
        <v>1200</v>
      </c>
      <c r="E9" s="19" t="s">
        <v>854</v>
      </c>
      <c r="F9" s="19" t="s">
        <v>1201</v>
      </c>
    </row>
    <row r="10" customFormat="false" ht="23.85" hidden="false" customHeight="false" outlineLevel="0" collapsed="false">
      <c r="A10" s="19" t="n">
        <v>7</v>
      </c>
      <c r="B10" s="19" t="s">
        <v>1202</v>
      </c>
      <c r="C10" s="19" t="s">
        <v>1203</v>
      </c>
      <c r="D10" s="19" t="s">
        <v>1204</v>
      </c>
      <c r="E10" s="19" t="s">
        <v>1205</v>
      </c>
      <c r="F10" s="19" t="s">
        <v>85</v>
      </c>
    </row>
    <row r="11" customFormat="false" ht="15" hidden="false" customHeight="false" outlineLevel="0" collapsed="false">
      <c r="A11" s="19" t="n">
        <v>8</v>
      </c>
      <c r="B11" s="19" t="s">
        <v>698</v>
      </c>
      <c r="C11" s="19" t="s">
        <v>1206</v>
      </c>
      <c r="D11" s="19" t="s">
        <v>1207</v>
      </c>
      <c r="E11" s="19" t="s">
        <v>854</v>
      </c>
      <c r="F11" s="19" t="s">
        <v>85</v>
      </c>
    </row>
    <row r="12" customFormat="false" ht="15" hidden="false" customHeight="false" outlineLevel="0" collapsed="false">
      <c r="A12" s="19" t="n">
        <v>9</v>
      </c>
      <c r="B12" s="19" t="s">
        <v>758</v>
      </c>
      <c r="C12" s="19" t="s">
        <v>1208</v>
      </c>
      <c r="D12" s="19" t="s">
        <v>1209</v>
      </c>
      <c r="E12" s="19" t="s">
        <v>850</v>
      </c>
      <c r="F12" s="19" t="s">
        <v>85</v>
      </c>
    </row>
    <row r="13" customFormat="false" ht="15" hidden="false" customHeight="false" outlineLevel="0" collapsed="false">
      <c r="A13" s="19" t="n">
        <v>10</v>
      </c>
      <c r="B13" s="19" t="s">
        <v>758</v>
      </c>
      <c r="C13" s="19" t="s">
        <v>1210</v>
      </c>
      <c r="D13" s="19" t="s">
        <v>1211</v>
      </c>
      <c r="E13" s="19" t="s">
        <v>850</v>
      </c>
      <c r="F13" s="19" t="s">
        <v>1212</v>
      </c>
    </row>
    <row r="14" customFormat="false" ht="15" hidden="false" customHeight="false" outlineLevel="0" collapsed="false">
      <c r="A14" s="19" t="n">
        <v>11</v>
      </c>
      <c r="B14" s="19" t="s">
        <v>758</v>
      </c>
      <c r="C14" s="19" t="s">
        <v>1213</v>
      </c>
      <c r="D14" s="19" t="s">
        <v>1214</v>
      </c>
      <c r="E14" s="19" t="s">
        <v>850</v>
      </c>
      <c r="F14" s="19" t="s">
        <v>1215</v>
      </c>
    </row>
    <row r="15" customFormat="false" ht="15" hidden="false" customHeight="false" outlineLevel="0" collapsed="false">
      <c r="A15" s="19" t="n">
        <v>12</v>
      </c>
      <c r="B15" s="19" t="s">
        <v>698</v>
      </c>
      <c r="C15" s="19" t="s">
        <v>1216</v>
      </c>
      <c r="D15" s="19" t="s">
        <v>1217</v>
      </c>
      <c r="E15" s="19" t="s">
        <v>854</v>
      </c>
      <c r="F15" s="19" t="s">
        <v>85</v>
      </c>
    </row>
    <row r="16" customFormat="false" ht="23.85" hidden="false" customHeight="false" outlineLevel="0" collapsed="false">
      <c r="A16" s="19" t="n">
        <v>13</v>
      </c>
      <c r="B16" s="19" t="s">
        <v>1218</v>
      </c>
      <c r="C16" s="19" t="s">
        <v>1219</v>
      </c>
      <c r="D16" s="19" t="s">
        <v>1220</v>
      </c>
      <c r="E16" s="19" t="s">
        <v>1221</v>
      </c>
      <c r="F16" s="19" t="s">
        <v>1222</v>
      </c>
    </row>
    <row r="17" customFormat="false" ht="23.85" hidden="false" customHeight="false" outlineLevel="0" collapsed="false">
      <c r="A17" s="19" t="n">
        <v>14</v>
      </c>
      <c r="B17" s="19" t="s">
        <v>1223</v>
      </c>
      <c r="C17" s="19" t="s">
        <v>1224</v>
      </c>
      <c r="D17" s="19" t="s">
        <v>1225</v>
      </c>
      <c r="E17" s="19" t="s">
        <v>1226</v>
      </c>
      <c r="F17" s="19" t="s">
        <v>1222</v>
      </c>
    </row>
    <row r="18" customFormat="false" ht="23.85" hidden="false" customHeight="false" outlineLevel="0" collapsed="false">
      <c r="A18" s="19" t="n">
        <v>15</v>
      </c>
      <c r="B18" s="19" t="s">
        <v>692</v>
      </c>
      <c r="C18" s="19" t="s">
        <v>1227</v>
      </c>
      <c r="D18" s="19" t="s">
        <v>1228</v>
      </c>
      <c r="E18" s="19" t="s">
        <v>1229</v>
      </c>
      <c r="F18" s="19" t="s">
        <v>1230</v>
      </c>
    </row>
    <row r="19" customFormat="false" ht="15" hidden="false" customHeight="false" outlineLevel="0" collapsed="false">
      <c r="A19" s="19" t="n">
        <v>16</v>
      </c>
      <c r="B19" s="19" t="s">
        <v>692</v>
      </c>
      <c r="C19" s="19" t="s">
        <v>1231</v>
      </c>
      <c r="D19" s="19" t="s">
        <v>1232</v>
      </c>
      <c r="E19" s="19" t="s">
        <v>867</v>
      </c>
      <c r="F19" s="19" t="s">
        <v>1233</v>
      </c>
    </row>
    <row r="20" customFormat="false" ht="15" hidden="false" customHeight="false" outlineLevel="0" collapsed="false">
      <c r="A20" s="19" t="n">
        <v>17</v>
      </c>
      <c r="B20" s="19" t="s">
        <v>692</v>
      </c>
      <c r="C20" s="19" t="s">
        <v>1234</v>
      </c>
      <c r="D20" s="19" t="s">
        <v>1235</v>
      </c>
      <c r="E20" s="19" t="s">
        <v>867</v>
      </c>
      <c r="F20" s="19" t="s">
        <v>1236</v>
      </c>
    </row>
    <row r="21" customFormat="false" ht="15" hidden="false" customHeight="false" outlineLevel="0" collapsed="false">
      <c r="A21" s="19" t="n">
        <v>18</v>
      </c>
      <c r="B21" s="19" t="s">
        <v>838</v>
      </c>
      <c r="C21" s="19" t="s">
        <v>1237</v>
      </c>
      <c r="D21" s="19" t="s">
        <v>1238</v>
      </c>
      <c r="E21" s="19" t="s">
        <v>1239</v>
      </c>
      <c r="F21" s="19" t="s">
        <v>85</v>
      </c>
    </row>
  </sheetData>
  <autoFilter ref="A3:F21"/>
  <mergeCells count="1"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70"/>
    <col collapsed="false" customWidth="true" hidden="false" outlineLevel="0" max="3" min="3" style="0" width="28"/>
    <col collapsed="false" customWidth="true" hidden="false" outlineLevel="0" max="4" min="4" style="0" width="48"/>
    <col collapsed="false" customWidth="true" hidden="false" outlineLevel="0" max="5" min="5" style="0" width="16"/>
  </cols>
  <sheetData>
    <row r="1" customFormat="false" ht="16.15" hidden="false" customHeight="false" outlineLevel="0" collapsed="false">
      <c r="A1" s="16" t="s">
        <v>1240</v>
      </c>
    </row>
    <row r="2" customFormat="false" ht="15" hidden="false" customHeight="false" outlineLevel="0" collapsed="false">
      <c r="A2" s="18" t="s">
        <v>193</v>
      </c>
      <c r="B2" s="18" t="s">
        <v>1241</v>
      </c>
      <c r="C2" s="18" t="s">
        <v>1242</v>
      </c>
      <c r="D2" s="18" t="s">
        <v>1243</v>
      </c>
      <c r="E2" s="18" t="s">
        <v>134</v>
      </c>
    </row>
    <row r="3" customFormat="false" ht="15" hidden="false" customHeight="false" outlineLevel="0" collapsed="false">
      <c r="A3" s="19" t="n">
        <v>1</v>
      </c>
      <c r="B3" s="19" t="s">
        <v>1244</v>
      </c>
      <c r="C3" s="19" t="s">
        <v>965</v>
      </c>
      <c r="D3" s="19" t="s">
        <v>1245</v>
      </c>
      <c r="E3" s="19" t="s">
        <v>1246</v>
      </c>
    </row>
    <row r="4" customFormat="false" ht="15" hidden="false" customHeight="false" outlineLevel="0" collapsed="false">
      <c r="A4" s="19" t="n">
        <v>2</v>
      </c>
      <c r="B4" s="19" t="s">
        <v>1247</v>
      </c>
      <c r="C4" s="19" t="s">
        <v>965</v>
      </c>
      <c r="D4" s="19" t="s">
        <v>1248</v>
      </c>
      <c r="E4" s="19" t="s">
        <v>1246</v>
      </c>
    </row>
    <row r="5" customFormat="false" ht="15" hidden="false" customHeight="false" outlineLevel="0" collapsed="false">
      <c r="A5" s="19" t="n">
        <v>3</v>
      </c>
      <c r="B5" s="19" t="s">
        <v>1249</v>
      </c>
      <c r="C5" s="19" t="s">
        <v>965</v>
      </c>
      <c r="D5" s="19" t="s">
        <v>1250</v>
      </c>
      <c r="E5" s="19" t="s">
        <v>1246</v>
      </c>
    </row>
    <row r="6" customFormat="false" ht="15" hidden="false" customHeight="false" outlineLevel="0" collapsed="false">
      <c r="A6" s="19" t="n">
        <v>4</v>
      </c>
      <c r="B6" s="19" t="s">
        <v>1251</v>
      </c>
      <c r="C6" s="19" t="s">
        <v>965</v>
      </c>
      <c r="D6" s="19" t="s">
        <v>1252</v>
      </c>
      <c r="E6" s="19" t="s">
        <v>1246</v>
      </c>
    </row>
    <row r="7" customFormat="false" ht="15" hidden="false" customHeight="false" outlineLevel="0" collapsed="false">
      <c r="A7" s="19" t="n">
        <v>5</v>
      </c>
      <c r="B7" s="19" t="s">
        <v>1253</v>
      </c>
      <c r="C7" s="19" t="s">
        <v>965</v>
      </c>
      <c r="D7" s="19" t="s">
        <v>831</v>
      </c>
      <c r="E7" s="19" t="s">
        <v>1246</v>
      </c>
    </row>
    <row r="8" customFormat="false" ht="15" hidden="false" customHeight="false" outlineLevel="0" collapsed="false">
      <c r="A8" s="19" t="n">
        <v>6</v>
      </c>
      <c r="B8" s="19" t="s">
        <v>1254</v>
      </c>
      <c r="C8" s="19" t="s">
        <v>965</v>
      </c>
      <c r="D8" s="19" t="s">
        <v>1245</v>
      </c>
      <c r="E8" s="19" t="s">
        <v>1246</v>
      </c>
    </row>
    <row r="9" customFormat="false" ht="15" hidden="false" customHeight="false" outlineLevel="0" collapsed="false">
      <c r="A9" s="19" t="n">
        <v>7</v>
      </c>
      <c r="B9" s="19" t="s">
        <v>1255</v>
      </c>
      <c r="C9" s="19" t="s">
        <v>1256</v>
      </c>
      <c r="D9" s="19" t="s">
        <v>1257</v>
      </c>
      <c r="E9" s="19" t="s">
        <v>202</v>
      </c>
    </row>
    <row r="10" customFormat="false" ht="15" hidden="false" customHeight="false" outlineLevel="0" collapsed="false">
      <c r="A10" s="19" t="n">
        <v>8</v>
      </c>
      <c r="B10" s="19" t="s">
        <v>1258</v>
      </c>
      <c r="C10" s="19" t="s">
        <v>965</v>
      </c>
      <c r="D10" s="19" t="s">
        <v>1259</v>
      </c>
      <c r="E10" s="19" t="s">
        <v>1246</v>
      </c>
    </row>
    <row r="11" customFormat="false" ht="15" hidden="false" customHeight="false" outlineLevel="0" collapsed="false">
      <c r="A11" s="19" t="n">
        <v>9</v>
      </c>
      <c r="B11" s="19" t="s">
        <v>1260</v>
      </c>
      <c r="C11" s="19" t="s">
        <v>965</v>
      </c>
      <c r="D11" s="19" t="s">
        <v>1261</v>
      </c>
      <c r="E11" s="19" t="s">
        <v>1246</v>
      </c>
    </row>
    <row r="12" customFormat="false" ht="15" hidden="false" customHeight="false" outlineLevel="0" collapsed="false">
      <c r="A12" s="19" t="n">
        <v>10</v>
      </c>
      <c r="B12" s="19" t="s">
        <v>1262</v>
      </c>
      <c r="C12" s="19" t="s">
        <v>965</v>
      </c>
      <c r="D12" s="19" t="s">
        <v>1263</v>
      </c>
      <c r="E12" s="19" t="s">
        <v>1246</v>
      </c>
    </row>
    <row r="13" customFormat="false" ht="15" hidden="false" customHeight="false" outlineLevel="0" collapsed="false">
      <c r="A13" s="19" t="n">
        <v>11</v>
      </c>
      <c r="B13" s="19" t="s">
        <v>1264</v>
      </c>
      <c r="C13" s="19" t="s">
        <v>1265</v>
      </c>
      <c r="D13" s="19" t="s">
        <v>1266</v>
      </c>
      <c r="E13" s="19" t="s">
        <v>202</v>
      </c>
    </row>
    <row r="14" customFormat="false" ht="15" hidden="false" customHeight="false" outlineLevel="0" collapsed="false">
      <c r="A14" s="19" t="n">
        <v>12</v>
      </c>
      <c r="B14" s="19" t="s">
        <v>1267</v>
      </c>
      <c r="C14" s="19" t="s">
        <v>1268</v>
      </c>
      <c r="D14" s="19" t="s">
        <v>85</v>
      </c>
      <c r="E14" s="19" t="s">
        <v>1269</v>
      </c>
    </row>
    <row r="15" customFormat="false" ht="15" hidden="false" customHeight="false" outlineLevel="0" collapsed="false">
      <c r="A15" s="19" t="n">
        <v>13</v>
      </c>
      <c r="B15" s="19" t="s">
        <v>1270</v>
      </c>
      <c r="C15" s="19" t="s">
        <v>965</v>
      </c>
      <c r="D15" s="19" t="s">
        <v>1245</v>
      </c>
      <c r="E15" s="19" t="s">
        <v>1246</v>
      </c>
    </row>
    <row r="16" customFormat="false" ht="15" hidden="false" customHeight="false" outlineLevel="0" collapsed="false">
      <c r="A16" s="19" t="n">
        <v>14</v>
      </c>
      <c r="B16" s="19" t="s">
        <v>1271</v>
      </c>
      <c r="C16" s="19" t="s">
        <v>1272</v>
      </c>
      <c r="D16" s="19" t="s">
        <v>85</v>
      </c>
      <c r="E16" s="19" t="s">
        <v>1269</v>
      </c>
    </row>
    <row r="17" customFormat="false" ht="15" hidden="false" customHeight="false" outlineLevel="0" collapsed="false">
      <c r="A17" s="19" t="n">
        <v>15</v>
      </c>
      <c r="B17" s="19" t="s">
        <v>1273</v>
      </c>
      <c r="C17" s="19" t="s">
        <v>1274</v>
      </c>
      <c r="D17" s="19" t="s">
        <v>821</v>
      </c>
      <c r="E17" s="19" t="s">
        <v>202</v>
      </c>
    </row>
    <row r="18" customFormat="false" ht="15" hidden="false" customHeight="false" outlineLevel="0" collapsed="false">
      <c r="A18" s="19" t="n">
        <v>16</v>
      </c>
      <c r="B18" s="19" t="s">
        <v>1275</v>
      </c>
      <c r="C18" s="19" t="s">
        <v>965</v>
      </c>
      <c r="D18" s="19" t="s">
        <v>1276</v>
      </c>
      <c r="E18" s="19" t="s">
        <v>1246</v>
      </c>
    </row>
    <row r="19" customFormat="false" ht="15" hidden="false" customHeight="false" outlineLevel="0" collapsed="false">
      <c r="A19" s="19" t="n">
        <v>17</v>
      </c>
      <c r="B19" s="19" t="s">
        <v>1277</v>
      </c>
      <c r="C19" s="19" t="s">
        <v>1268</v>
      </c>
      <c r="D19" s="19" t="s">
        <v>85</v>
      </c>
      <c r="E19" s="19" t="s">
        <v>1269</v>
      </c>
    </row>
    <row r="20" customFormat="false" ht="15" hidden="false" customHeight="false" outlineLevel="0" collapsed="false">
      <c r="A20" s="19" t="n">
        <v>18</v>
      </c>
      <c r="B20" s="19" t="s">
        <v>1278</v>
      </c>
      <c r="C20" s="19" t="s">
        <v>1274</v>
      </c>
      <c r="D20" s="19" t="s">
        <v>1279</v>
      </c>
      <c r="E20" s="19" t="s">
        <v>1246</v>
      </c>
    </row>
    <row r="21" customFormat="false" ht="15" hidden="false" customHeight="false" outlineLevel="0" collapsed="false">
      <c r="A21" s="19" t="n">
        <v>19</v>
      </c>
      <c r="B21" s="19" t="s">
        <v>1280</v>
      </c>
      <c r="C21" s="19" t="s">
        <v>965</v>
      </c>
      <c r="D21" s="19" t="s">
        <v>1261</v>
      </c>
      <c r="E21" s="19" t="s">
        <v>1246</v>
      </c>
    </row>
    <row r="22" customFormat="false" ht="15" hidden="false" customHeight="false" outlineLevel="0" collapsed="false">
      <c r="A22" s="19" t="n">
        <v>20</v>
      </c>
      <c r="B22" s="19" t="s">
        <v>1281</v>
      </c>
      <c r="C22" s="19" t="s">
        <v>1268</v>
      </c>
      <c r="D22" s="19" t="s">
        <v>85</v>
      </c>
      <c r="E22" s="19" t="s">
        <v>1269</v>
      </c>
    </row>
    <row r="23" customFormat="false" ht="15" hidden="false" customHeight="false" outlineLevel="0" collapsed="false">
      <c r="A23" s="19" t="n">
        <v>21</v>
      </c>
      <c r="B23" s="19" t="s">
        <v>1282</v>
      </c>
      <c r="C23" s="19" t="s">
        <v>965</v>
      </c>
      <c r="D23" s="19" t="s">
        <v>815</v>
      </c>
      <c r="E23" s="19" t="s">
        <v>1246</v>
      </c>
    </row>
    <row r="24" customFormat="false" ht="15" hidden="false" customHeight="false" outlineLevel="0" collapsed="false">
      <c r="A24" s="19" t="n">
        <v>22</v>
      </c>
      <c r="B24" s="19" t="s">
        <v>1283</v>
      </c>
      <c r="C24" s="19" t="s">
        <v>965</v>
      </c>
      <c r="D24" s="19" t="s">
        <v>1250</v>
      </c>
      <c r="E24" s="19" t="s">
        <v>1246</v>
      </c>
    </row>
  </sheetData>
  <autoFilter ref="A2:E24"/>
  <dataValidations count="1">
    <dataValidation allowBlank="false" errorStyle="stop" operator="between" showDropDown="false" showErrorMessage="false" showInputMessage="false" sqref="E3:E24" type="list">
      <formula1>"Pendiente,Cumplido,Fuera del MVP"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0"/>
    <col collapsed="false" customWidth="true" hidden="false" outlineLevel="0" max="3" min="3" style="0" width="10"/>
    <col collapsed="false" customWidth="true" hidden="false" outlineLevel="0" max="4" min="4" style="0" width="13"/>
    <col collapsed="false" customWidth="true" hidden="false" outlineLevel="0" max="5" min="5" style="0" width="90"/>
    <col collapsed="false" customWidth="true" hidden="false" outlineLevel="0" max="6" min="6" style="0" width="20"/>
  </cols>
  <sheetData>
    <row r="1" customFormat="false" ht="16.15" hidden="false" customHeight="false" outlineLevel="0" collapsed="false">
      <c r="A1" s="16" t="s">
        <v>1284</v>
      </c>
    </row>
    <row r="2" customFormat="false" ht="15" hidden="false" customHeight="false" outlineLevel="0" collapsed="false">
      <c r="A2" s="18" t="s">
        <v>193</v>
      </c>
      <c r="B2" s="18" t="s">
        <v>1285</v>
      </c>
      <c r="C2" s="18" t="s">
        <v>1286</v>
      </c>
      <c r="D2" s="18" t="s">
        <v>1287</v>
      </c>
      <c r="E2" s="18" t="s">
        <v>1288</v>
      </c>
      <c r="F2" s="18" t="s">
        <v>1289</v>
      </c>
    </row>
    <row r="3" customFormat="false" ht="23.85" hidden="false" customHeight="false" outlineLevel="0" collapsed="false">
      <c r="A3" s="19" t="n">
        <v>1</v>
      </c>
      <c r="B3" s="19" t="s">
        <v>1290</v>
      </c>
      <c r="C3" s="19" t="s">
        <v>1291</v>
      </c>
      <c r="D3" s="19" t="s">
        <v>1292</v>
      </c>
      <c r="E3" s="19" t="s">
        <v>1293</v>
      </c>
      <c r="F3" s="19" t="s">
        <v>1294</v>
      </c>
    </row>
    <row r="4" customFormat="false" ht="15" hidden="false" customHeight="false" outlineLevel="0" collapsed="false">
      <c r="A4" s="19" t="n">
        <v>2</v>
      </c>
      <c r="B4" s="19" t="s">
        <v>1295</v>
      </c>
      <c r="C4" s="19" t="s">
        <v>1296</v>
      </c>
      <c r="D4" s="19" t="s">
        <v>1292</v>
      </c>
      <c r="E4" s="19" t="s">
        <v>1297</v>
      </c>
      <c r="F4" s="19" t="s">
        <v>1298</v>
      </c>
    </row>
    <row r="5" customFormat="false" ht="23.85" hidden="false" customHeight="false" outlineLevel="0" collapsed="false">
      <c r="A5" s="19" t="n">
        <v>3</v>
      </c>
      <c r="B5" s="19" t="s">
        <v>1299</v>
      </c>
      <c r="C5" s="19" t="s">
        <v>1296</v>
      </c>
      <c r="D5" s="19" t="s">
        <v>1292</v>
      </c>
      <c r="E5" s="19" t="s">
        <v>1300</v>
      </c>
      <c r="F5" s="19" t="s">
        <v>871</v>
      </c>
    </row>
    <row r="6" customFormat="false" ht="15" hidden="false" customHeight="false" outlineLevel="0" collapsed="false">
      <c r="A6" s="19" t="n">
        <v>4</v>
      </c>
      <c r="B6" s="19" t="s">
        <v>1301</v>
      </c>
      <c r="C6" s="19" t="s">
        <v>1291</v>
      </c>
      <c r="D6" s="19" t="s">
        <v>1292</v>
      </c>
      <c r="E6" s="19" t="s">
        <v>1302</v>
      </c>
      <c r="F6" s="19" t="s">
        <v>871</v>
      </c>
    </row>
    <row r="7" customFormat="false" ht="15" hidden="false" customHeight="false" outlineLevel="0" collapsed="false">
      <c r="A7" s="19" t="n">
        <v>5</v>
      </c>
      <c r="B7" s="19" t="s">
        <v>1303</v>
      </c>
      <c r="C7" s="19" t="s">
        <v>1296</v>
      </c>
      <c r="D7" s="19" t="s">
        <v>1304</v>
      </c>
      <c r="E7" s="19" t="s">
        <v>1305</v>
      </c>
      <c r="F7" s="19" t="s">
        <v>1306</v>
      </c>
    </row>
    <row r="8" customFormat="false" ht="15" hidden="false" customHeight="false" outlineLevel="0" collapsed="false">
      <c r="A8" s="19" t="n">
        <v>6</v>
      </c>
      <c r="B8" s="19" t="s">
        <v>1307</v>
      </c>
      <c r="C8" s="19" t="s">
        <v>1296</v>
      </c>
      <c r="D8" s="19" t="s">
        <v>1304</v>
      </c>
      <c r="E8" s="19" t="s">
        <v>1308</v>
      </c>
      <c r="F8" s="19" t="s">
        <v>1064</v>
      </c>
    </row>
    <row r="9" customFormat="false" ht="15" hidden="false" customHeight="false" outlineLevel="0" collapsed="false">
      <c r="A9" s="19" t="n">
        <v>7</v>
      </c>
      <c r="B9" s="19" t="s">
        <v>1309</v>
      </c>
      <c r="C9" s="19" t="s">
        <v>1296</v>
      </c>
      <c r="D9" s="19" t="s">
        <v>1292</v>
      </c>
      <c r="E9" s="19" t="s">
        <v>1310</v>
      </c>
      <c r="F9" s="19" t="s">
        <v>1091</v>
      </c>
    </row>
    <row r="10" customFormat="false" ht="15" hidden="false" customHeight="false" outlineLevel="0" collapsed="false">
      <c r="A10" s="19" t="n">
        <v>8</v>
      </c>
      <c r="B10" s="19" t="s">
        <v>1311</v>
      </c>
      <c r="C10" s="19" t="s">
        <v>1296</v>
      </c>
      <c r="D10" s="19" t="s">
        <v>1292</v>
      </c>
      <c r="E10" s="19" t="s">
        <v>1312</v>
      </c>
      <c r="F10" s="19" t="s">
        <v>1091</v>
      </c>
    </row>
    <row r="11" customFormat="false" ht="15" hidden="false" customHeight="false" outlineLevel="0" collapsed="false">
      <c r="A11" s="19" t="n">
        <v>9</v>
      </c>
      <c r="B11" s="19" t="s">
        <v>1313</v>
      </c>
      <c r="C11" s="19" t="s">
        <v>1314</v>
      </c>
      <c r="D11" s="19" t="s">
        <v>1304</v>
      </c>
      <c r="E11" s="19" t="s">
        <v>1315</v>
      </c>
      <c r="F11" s="19" t="s">
        <v>871</v>
      </c>
    </row>
    <row r="12" customFormat="false" ht="15" hidden="false" customHeight="false" outlineLevel="0" collapsed="false">
      <c r="A12" s="19" t="n">
        <v>10</v>
      </c>
      <c r="B12" s="19" t="s">
        <v>1316</v>
      </c>
      <c r="C12" s="19" t="s">
        <v>1314</v>
      </c>
      <c r="D12" s="19" t="s">
        <v>1304</v>
      </c>
      <c r="E12" s="19" t="s">
        <v>1317</v>
      </c>
      <c r="F12" s="19" t="s">
        <v>841</v>
      </c>
    </row>
    <row r="13" customFormat="false" ht="15" hidden="false" customHeight="false" outlineLevel="0" collapsed="false">
      <c r="A13" s="19" t="n">
        <v>11</v>
      </c>
      <c r="B13" s="19" t="s">
        <v>1318</v>
      </c>
      <c r="C13" s="19" t="s">
        <v>1296</v>
      </c>
      <c r="D13" s="19" t="s">
        <v>1304</v>
      </c>
      <c r="E13" s="19" t="s">
        <v>1319</v>
      </c>
      <c r="F13" s="19" t="s">
        <v>1320</v>
      </c>
    </row>
  </sheetData>
  <autoFilter ref="A2:F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10"/>
    <col collapsed="false" customWidth="true" hidden="false" outlineLevel="0" max="3" min="3" style="0" width="18"/>
  </cols>
  <sheetData>
    <row r="1" customFormat="false" ht="16.15" hidden="false" customHeight="false" outlineLevel="0" collapsed="false">
      <c r="A1" s="16" t="s">
        <v>1321</v>
      </c>
    </row>
    <row r="2" customFormat="false" ht="30" hidden="false" customHeight="true" outlineLevel="0" collapsed="false">
      <c r="A2" s="17" t="s">
        <v>1322</v>
      </c>
      <c r="B2" s="17"/>
      <c r="C2" s="17"/>
    </row>
    <row r="3" customFormat="false" ht="15" hidden="false" customHeight="false" outlineLevel="0" collapsed="false">
      <c r="A3" s="18" t="s">
        <v>1323</v>
      </c>
      <c r="B3" s="18" t="s">
        <v>1324</v>
      </c>
      <c r="C3" s="18" t="s">
        <v>662</v>
      </c>
    </row>
    <row r="4" customFormat="false" ht="15" hidden="false" customHeight="false" outlineLevel="0" collapsed="false">
      <c r="A4" s="19" t="s">
        <v>1325</v>
      </c>
      <c r="B4" s="19" t="s">
        <v>1326</v>
      </c>
      <c r="C4" s="19" t="s">
        <v>1068</v>
      </c>
    </row>
    <row r="5" customFormat="false" ht="15" hidden="false" customHeight="false" outlineLevel="0" collapsed="false">
      <c r="A5" s="19" t="s">
        <v>1325</v>
      </c>
      <c r="B5" s="19" t="s">
        <v>1327</v>
      </c>
      <c r="C5" s="19" t="s">
        <v>1068</v>
      </c>
    </row>
    <row r="6" customFormat="false" ht="23.85" hidden="false" customHeight="false" outlineLevel="0" collapsed="false">
      <c r="A6" s="19" t="s">
        <v>1325</v>
      </c>
      <c r="B6" s="19" t="s">
        <v>1328</v>
      </c>
      <c r="C6" s="19" t="s">
        <v>1072</v>
      </c>
    </row>
    <row r="7" customFormat="false" ht="35.05" hidden="false" customHeight="false" outlineLevel="0" collapsed="false">
      <c r="A7" s="19" t="s">
        <v>1325</v>
      </c>
      <c r="B7" s="19" t="s">
        <v>1329</v>
      </c>
      <c r="C7" s="19" t="s">
        <v>1072</v>
      </c>
    </row>
    <row r="8" customFormat="false" ht="15" hidden="false" customHeight="false" outlineLevel="0" collapsed="false">
      <c r="A8" s="19"/>
      <c r="B8" s="19"/>
      <c r="C8" s="19"/>
    </row>
  </sheetData>
  <autoFilter ref="A3:C8"/>
  <mergeCells count="1"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2026-10-12T21:37:50Z</dcterms:created>
  <dc:creator>openpyxl</dc:creator>
  <dc:description/>
  <dc:language>en-US</dc:language>
  <cp:lastModifiedBy/>
  <dcterms:modified xsi:type="dcterms:W3CDTF">2026-10-12T21:37:50Z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